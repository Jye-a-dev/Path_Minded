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langunivn-my.sharepoint.com/personal/phung_bm_vlu_edu_vn/Documents/Working/Khoa CNTT/2025-2026/Rà soát CTĐT - K32/Rà soát CTĐT - Ngành CNTT/05. Tong ket/PL8_Khung CTĐT - Bản mô tả CTĐT - Bản mô tả Web CTĐT/"/>
    </mc:Choice>
  </mc:AlternateContent>
  <xr:revisionPtr revIDLastSave="1394" documentId="11_24742F84AA9D5DC68F691C5ED1CBBBC712DEE27C" xr6:coauthVersionLast="47" xr6:coauthVersionMax="47" xr10:uidLastSave="{17AA12BB-11B6-4777-9DAB-3C39679B4A61}"/>
  <bookViews>
    <workbookView xWindow="-108" yWindow="-108" windowWidth="23256" windowHeight="12456" xr2:uid="{00000000-000D-0000-FFFF-FFFF00000000}"/>
  </bookViews>
  <sheets>
    <sheet name="Ke hoach giảng dạy CNTT" sheetId="8" r:id="rId1"/>
    <sheet name="Khung_CTĐT_CNTT_K30 (2024)" sheetId="7" r:id="rId2"/>
    <sheet name="CTĐT_CNTT_K30 (2025 Mẫu Khoa)" sheetId="9" r:id="rId3"/>
    <sheet name="MaBoMon" sheetId="4" state="hidden" r:id="rId4"/>
  </sheets>
  <externalReferences>
    <externalReference r:id="rId5"/>
    <externalReference r:id="rId6"/>
  </externalReferences>
  <definedNames>
    <definedName name="_xlnm._FilterDatabase" localSheetId="0" hidden="1">'Ke hoach giảng dạy CNTT'!$A$7:$M$103</definedName>
    <definedName name="ChungChi" localSheetId="2">[1]ViTriLamViec!#REF!</definedName>
    <definedName name="ChungChi" localSheetId="0">[1]ViTriLamViec!#REF!</definedName>
    <definedName name="ChungChi" localSheetId="1">[1]ViTriLamViec!#REF!</definedName>
    <definedName name="ChungChi">[1]ViTriLamViec!#REF!</definedName>
    <definedName name="ChuyenNghanh" localSheetId="2">[1]DM_NganhDT!#REF!</definedName>
    <definedName name="ChuyenNghanh" localSheetId="0">[1]DM_NganhDT!#REF!</definedName>
    <definedName name="ChuyenNghanh" localSheetId="1">[1]DM_NganhDT!#REF!</definedName>
    <definedName name="ChuyenNghanh">[1]DM_NganhDT!#REF!</definedName>
    <definedName name="CoSoDaoTao" localSheetId="2">#REF!</definedName>
    <definedName name="CoSoDaoTao" localSheetId="0">#REF!</definedName>
    <definedName name="CoSoDaoTao" localSheetId="1">#REF!</definedName>
    <definedName name="CoSoDaoTao">#REF!</definedName>
    <definedName name="CoSoDaoTao_">#REF!</definedName>
    <definedName name="DanhMucPhong" localSheetId="2">#REF!</definedName>
    <definedName name="DanhMucPhong" localSheetId="0">#REF!</definedName>
    <definedName name="DanhMucPhong" localSheetId="1">#REF!</definedName>
    <definedName name="DanhMucPhong">#REF!</definedName>
    <definedName name="DanToc" localSheetId="2">[1]DanToc!#REF!</definedName>
    <definedName name="DanToc" localSheetId="0">[1]DanToc!#REF!</definedName>
    <definedName name="DanToc" localSheetId="1">[1]DanToc!#REF!</definedName>
    <definedName name="DanToc">[1]DanToc!#REF!</definedName>
    <definedName name="_xlnm.Print_Area" localSheetId="2">'CTĐT_CNTT_K30 (2025 Mẫu Khoa)'!$A$1:$O$105</definedName>
    <definedName name="_xlnm.Print_Area" localSheetId="0">'Ke hoach giảng dạy CNTT'!$A$1:$O$111</definedName>
    <definedName name="_xlnm.Print_Area" localSheetId="1">'Khung_CTĐT_CNTT_K30 (2024)'!$A$1:$S$105</definedName>
    <definedName name="_xlnm.Print_Titles" localSheetId="2">'CTĐT_CNTT_K30 (2025 Mẫu Khoa)'!$9:$9</definedName>
    <definedName name="_xlnm.Print_Titles" localSheetId="0">'Ke hoach giảng dạy CNTT'!$7:$8</definedName>
    <definedName name="_xlnm.Print_Titles" localSheetId="1">'Khung_CTĐT_CNTT_K30 (2024)'!$9:$9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22" i="9" l="1"/>
  <c r="X22" i="9" s="1"/>
  <c r="W33" i="9"/>
  <c r="X33" i="9" s="1"/>
  <c r="W34" i="9"/>
  <c r="X34" i="9"/>
  <c r="W35" i="9"/>
  <c r="X35" i="9" s="1"/>
  <c r="W36" i="9"/>
  <c r="X36" i="9" s="1"/>
  <c r="W45" i="9"/>
  <c r="X45" i="9" s="1"/>
  <c r="W46" i="9"/>
  <c r="X46" i="9" s="1"/>
  <c r="W47" i="9"/>
  <c r="X47" i="9" s="1"/>
  <c r="W57" i="9"/>
  <c r="X57" i="9" s="1"/>
  <c r="W58" i="9"/>
  <c r="X58" i="9" s="1"/>
  <c r="W59" i="9"/>
  <c r="X59" i="9" s="1"/>
  <c r="W60" i="9"/>
  <c r="X60" i="9" s="1"/>
  <c r="W69" i="9"/>
  <c r="X69" i="9" s="1"/>
  <c r="W70" i="9"/>
  <c r="X70" i="9" s="1"/>
  <c r="W71" i="9"/>
  <c r="X71" i="9" s="1"/>
  <c r="W81" i="9"/>
  <c r="X81" i="9" s="1"/>
  <c r="W82" i="9"/>
  <c r="X82" i="9" s="1"/>
  <c r="W83" i="9"/>
  <c r="X83" i="9" s="1"/>
  <c r="W84" i="9"/>
  <c r="X84" i="9" s="1"/>
  <c r="W93" i="9"/>
  <c r="X93" i="9" s="1"/>
  <c r="W94" i="9"/>
  <c r="X94" i="9" s="1"/>
  <c r="W95" i="9"/>
  <c r="X95" i="9" s="1"/>
  <c r="W102" i="9"/>
  <c r="X102" i="9" s="1"/>
  <c r="W108" i="9"/>
  <c r="X108" i="9" s="1"/>
  <c r="W109" i="9"/>
  <c r="X109" i="9" s="1"/>
  <c r="W110" i="9"/>
  <c r="X110" i="9" s="1"/>
  <c r="W13" i="9"/>
  <c r="X13" i="9" s="1"/>
  <c r="W14" i="9"/>
  <c r="X14" i="9" s="1"/>
  <c r="W15" i="9"/>
  <c r="X15" i="9" s="1"/>
  <c r="W16" i="9"/>
  <c r="X16" i="9" s="1"/>
  <c r="W17" i="9"/>
  <c r="X17" i="9" s="1"/>
  <c r="W18" i="9"/>
  <c r="X18" i="9" s="1"/>
  <c r="W19" i="9"/>
  <c r="X19" i="9" s="1"/>
  <c r="W20" i="9"/>
  <c r="X20" i="9" s="1"/>
  <c r="W21" i="9"/>
  <c r="X21" i="9" s="1"/>
  <c r="W23" i="9"/>
  <c r="X23" i="9" s="1"/>
  <c r="W24" i="9"/>
  <c r="X24" i="9" s="1"/>
  <c r="W25" i="9"/>
  <c r="X25" i="9" s="1"/>
  <c r="W26" i="9"/>
  <c r="X26" i="9" s="1"/>
  <c r="W27" i="9"/>
  <c r="X27" i="9" s="1"/>
  <c r="W28" i="9"/>
  <c r="X28" i="9" s="1"/>
  <c r="W29" i="9"/>
  <c r="X29" i="9" s="1"/>
  <c r="W30" i="9"/>
  <c r="X30" i="9" s="1"/>
  <c r="W31" i="9"/>
  <c r="X31" i="9" s="1"/>
  <c r="W32" i="9"/>
  <c r="X32" i="9" s="1"/>
  <c r="W37" i="9"/>
  <c r="X37" i="9" s="1"/>
  <c r="W38" i="9"/>
  <c r="X38" i="9" s="1"/>
  <c r="W39" i="9"/>
  <c r="X39" i="9" s="1"/>
  <c r="W40" i="9"/>
  <c r="X40" i="9" s="1"/>
  <c r="W41" i="9"/>
  <c r="X41" i="9" s="1"/>
  <c r="W42" i="9"/>
  <c r="X42" i="9" s="1"/>
  <c r="W43" i="9"/>
  <c r="X43" i="9" s="1"/>
  <c r="W44" i="9"/>
  <c r="X44" i="9"/>
  <c r="W48" i="9"/>
  <c r="X48" i="9" s="1"/>
  <c r="W49" i="9"/>
  <c r="X49" i="9" s="1"/>
  <c r="W50" i="9"/>
  <c r="X50" i="9" s="1"/>
  <c r="W51" i="9"/>
  <c r="X51" i="9" s="1"/>
  <c r="W52" i="9"/>
  <c r="X52" i="9" s="1"/>
  <c r="W53" i="9"/>
  <c r="X53" i="9" s="1"/>
  <c r="W54" i="9"/>
  <c r="X54" i="9" s="1"/>
  <c r="W55" i="9"/>
  <c r="X55" i="9" s="1"/>
  <c r="W56" i="9"/>
  <c r="X56" i="9" s="1"/>
  <c r="W61" i="9"/>
  <c r="X61" i="9" s="1"/>
  <c r="W62" i="9"/>
  <c r="X62" i="9" s="1"/>
  <c r="W63" i="9"/>
  <c r="X63" i="9" s="1"/>
  <c r="W64" i="9"/>
  <c r="X64" i="9" s="1"/>
  <c r="W65" i="9"/>
  <c r="X65" i="9" s="1"/>
  <c r="W66" i="9"/>
  <c r="X66" i="9" s="1"/>
  <c r="W67" i="9"/>
  <c r="X67" i="9" s="1"/>
  <c r="W68" i="9"/>
  <c r="X68" i="9" s="1"/>
  <c r="W72" i="9"/>
  <c r="X72" i="9" s="1"/>
  <c r="W73" i="9"/>
  <c r="X73" i="9" s="1"/>
  <c r="W74" i="9"/>
  <c r="X74" i="9" s="1"/>
  <c r="W75" i="9"/>
  <c r="X75" i="9" s="1"/>
  <c r="W76" i="9"/>
  <c r="X76" i="9" s="1"/>
  <c r="W77" i="9"/>
  <c r="X77" i="9" s="1"/>
  <c r="W78" i="9"/>
  <c r="X78" i="9" s="1"/>
  <c r="W79" i="9"/>
  <c r="X79" i="9" s="1"/>
  <c r="W80" i="9"/>
  <c r="X80" i="9" s="1"/>
  <c r="W85" i="9"/>
  <c r="X85" i="9" s="1"/>
  <c r="W86" i="9"/>
  <c r="X86" i="9" s="1"/>
  <c r="W87" i="9"/>
  <c r="X87" i="9" s="1"/>
  <c r="W88" i="9"/>
  <c r="X88" i="9" s="1"/>
  <c r="W89" i="9"/>
  <c r="X89" i="9" s="1"/>
  <c r="W90" i="9"/>
  <c r="X90" i="9" s="1"/>
  <c r="W91" i="9"/>
  <c r="X91" i="9" s="1"/>
  <c r="W92" i="9"/>
  <c r="X92" i="9" s="1"/>
  <c r="W96" i="9"/>
  <c r="X96" i="9" s="1"/>
  <c r="W97" i="9"/>
  <c r="X97" i="9" s="1"/>
  <c r="W104" i="9"/>
  <c r="X104" i="9" s="1"/>
  <c r="W98" i="9"/>
  <c r="X98" i="9" s="1"/>
  <c r="W105" i="9"/>
  <c r="X105" i="9" s="1"/>
  <c r="W100" i="9"/>
  <c r="X100" i="9" s="1"/>
  <c r="W101" i="9"/>
  <c r="X101" i="9" s="1"/>
  <c r="W103" i="9"/>
  <c r="X103" i="9" s="1"/>
  <c r="W99" i="9"/>
  <c r="X99" i="9" s="1"/>
  <c r="W111" i="9"/>
  <c r="X111" i="9" s="1"/>
  <c r="W112" i="9"/>
  <c r="X112" i="9" s="1"/>
  <c r="W113" i="9"/>
  <c r="X113" i="9" s="1"/>
  <c r="W12" i="9"/>
  <c r="X12" i="9" s="1"/>
  <c r="M96" i="8"/>
  <c r="L96" i="8"/>
  <c r="K96" i="8"/>
  <c r="J96" i="8"/>
  <c r="I96" i="8"/>
  <c r="H96" i="8"/>
  <c r="G96" i="8"/>
  <c r="F96" i="8"/>
  <c r="E96" i="8"/>
  <c r="R95" i="8"/>
  <c r="M95" i="8"/>
  <c r="L95" i="8"/>
  <c r="K95" i="8"/>
  <c r="J95" i="8"/>
  <c r="I95" i="8"/>
  <c r="H95" i="8"/>
  <c r="G95" i="8"/>
  <c r="F95" i="8"/>
  <c r="E95" i="8"/>
  <c r="M60" i="8"/>
  <c r="L60" i="8"/>
  <c r="K60" i="8"/>
  <c r="J60" i="8"/>
  <c r="I60" i="8"/>
  <c r="H60" i="8"/>
  <c r="G60" i="8"/>
  <c r="F60" i="8"/>
  <c r="E60" i="8"/>
  <c r="R42" i="8"/>
  <c r="E42" i="8"/>
  <c r="F42" i="8"/>
  <c r="G42" i="8"/>
  <c r="H42" i="8"/>
  <c r="I42" i="8"/>
  <c r="J42" i="8"/>
  <c r="K42" i="8"/>
  <c r="L42" i="8"/>
  <c r="M42" i="8"/>
  <c r="V96" i="7"/>
  <c r="U96" i="7"/>
  <c r="V95" i="7"/>
  <c r="U95" i="7"/>
  <c r="V94" i="7"/>
  <c r="U94" i="7"/>
  <c r="V93" i="7"/>
  <c r="U93" i="7"/>
  <c r="V92" i="7"/>
  <c r="U92" i="7"/>
  <c r="V91" i="7"/>
  <c r="U91" i="7"/>
  <c r="V90" i="7"/>
  <c r="U90" i="7"/>
  <c r="V89" i="7"/>
  <c r="U89" i="7"/>
  <c r="V88" i="7"/>
  <c r="U88" i="7"/>
  <c r="V87" i="7"/>
  <c r="U87" i="7"/>
  <c r="V86" i="7"/>
  <c r="U86" i="7"/>
  <c r="V85" i="7"/>
  <c r="U85" i="7"/>
  <c r="V84" i="7"/>
  <c r="U84" i="7"/>
  <c r="V83" i="7"/>
  <c r="U83" i="7"/>
  <c r="V82" i="7"/>
  <c r="U82" i="7"/>
  <c r="V81" i="7"/>
  <c r="U81" i="7"/>
  <c r="V80" i="7"/>
  <c r="U80" i="7"/>
  <c r="V79" i="7"/>
  <c r="U79" i="7"/>
  <c r="V78" i="7"/>
  <c r="U78" i="7"/>
  <c r="V77" i="7"/>
  <c r="U77" i="7"/>
  <c r="V76" i="7"/>
  <c r="U76" i="7"/>
  <c r="V75" i="7"/>
  <c r="U75" i="7"/>
  <c r="V74" i="7"/>
  <c r="U74" i="7"/>
  <c r="V73" i="7"/>
  <c r="U73" i="7"/>
  <c r="V72" i="7"/>
  <c r="U72" i="7"/>
  <c r="V71" i="7"/>
  <c r="U71" i="7"/>
  <c r="V70" i="7"/>
  <c r="U70" i="7"/>
  <c r="V69" i="7"/>
  <c r="U69" i="7"/>
  <c r="V68" i="7"/>
  <c r="U68" i="7"/>
  <c r="V67" i="7"/>
  <c r="U67" i="7"/>
  <c r="V66" i="7"/>
  <c r="U66" i="7"/>
  <c r="V65" i="7"/>
  <c r="U65" i="7"/>
  <c r="V64" i="7"/>
  <c r="U64" i="7"/>
  <c r="V63" i="7"/>
  <c r="U63" i="7"/>
  <c r="V62" i="7"/>
  <c r="U62" i="7"/>
  <c r="V61" i="7"/>
  <c r="U61" i="7"/>
  <c r="V60" i="7"/>
  <c r="U60" i="7"/>
  <c r="V59" i="7"/>
  <c r="U59" i="7"/>
  <c r="V58" i="7"/>
  <c r="U58" i="7"/>
  <c r="V57" i="7"/>
  <c r="U57" i="7"/>
  <c r="V56" i="7"/>
  <c r="U56" i="7"/>
  <c r="V55" i="7"/>
  <c r="U55" i="7"/>
  <c r="V54" i="7"/>
  <c r="U54" i="7"/>
  <c r="V53" i="7"/>
  <c r="U53" i="7"/>
  <c r="V52" i="7"/>
  <c r="U52" i="7"/>
  <c r="V51" i="7"/>
  <c r="U51" i="7"/>
  <c r="V50" i="7"/>
  <c r="U50" i="7"/>
  <c r="V49" i="7"/>
  <c r="U49" i="7"/>
  <c r="V48" i="7"/>
  <c r="U48" i="7"/>
  <c r="V113" i="9"/>
  <c r="U113" i="9"/>
  <c r="V112" i="9"/>
  <c r="U112" i="9"/>
  <c r="V111" i="9"/>
  <c r="U111" i="9"/>
  <c r="V109" i="9"/>
  <c r="U109" i="9"/>
  <c r="V102" i="9"/>
  <c r="U102" i="9"/>
  <c r="V99" i="9"/>
  <c r="U99" i="9"/>
  <c r="V103" i="9"/>
  <c r="U103" i="9"/>
  <c r="V101" i="9"/>
  <c r="U101" i="9"/>
  <c r="V100" i="9"/>
  <c r="U100" i="9"/>
  <c r="V105" i="9"/>
  <c r="U105" i="9"/>
  <c r="V98" i="9"/>
  <c r="U98" i="9"/>
  <c r="V104" i="9"/>
  <c r="U104" i="9"/>
  <c r="V96" i="9"/>
  <c r="U96" i="9"/>
  <c r="V95" i="9"/>
  <c r="U95" i="9"/>
  <c r="V94" i="9"/>
  <c r="U94" i="9"/>
  <c r="V93" i="9"/>
  <c r="U93" i="9"/>
  <c r="V92" i="9"/>
  <c r="U92" i="9"/>
  <c r="V91" i="9"/>
  <c r="U91" i="9"/>
  <c r="V89" i="9"/>
  <c r="U89" i="9"/>
  <c r="V88" i="9"/>
  <c r="U88" i="9"/>
  <c r="V87" i="9"/>
  <c r="U87" i="9"/>
  <c r="V86" i="9"/>
  <c r="U86" i="9"/>
  <c r="V85" i="9"/>
  <c r="U85" i="9"/>
  <c r="V84" i="9"/>
  <c r="U84" i="9"/>
  <c r="V82" i="9"/>
  <c r="U82" i="9"/>
  <c r="V81" i="9"/>
  <c r="U81" i="9"/>
  <c r="V80" i="9"/>
  <c r="U80" i="9"/>
  <c r="V79" i="9"/>
  <c r="U79" i="9"/>
  <c r="V78" i="9"/>
  <c r="U78" i="9"/>
  <c r="V77" i="9"/>
  <c r="U77" i="9"/>
  <c r="V74" i="9"/>
  <c r="U74" i="9"/>
  <c r="V73" i="9"/>
  <c r="U73" i="9"/>
  <c r="V72" i="9"/>
  <c r="U72" i="9"/>
  <c r="V71" i="9"/>
  <c r="U71" i="9"/>
  <c r="V70" i="9"/>
  <c r="U70" i="9"/>
  <c r="V69" i="9"/>
  <c r="U69" i="9"/>
  <c r="V68" i="9"/>
  <c r="U68" i="9"/>
  <c r="V67" i="9"/>
  <c r="U67" i="9"/>
  <c r="V66" i="9"/>
  <c r="U66" i="9"/>
  <c r="V65" i="9"/>
  <c r="U65" i="9"/>
  <c r="V64" i="9"/>
  <c r="U64" i="9"/>
  <c r="V63" i="9"/>
  <c r="U63" i="9"/>
  <c r="V61" i="9"/>
  <c r="U61" i="9"/>
  <c r="V60" i="9"/>
  <c r="U60" i="9"/>
  <c r="V59" i="9"/>
  <c r="U59" i="9"/>
  <c r="V58" i="9"/>
  <c r="U58" i="9"/>
  <c r="V57" i="9"/>
  <c r="U57" i="9"/>
  <c r="V56" i="9"/>
  <c r="U56" i="9"/>
  <c r="V55" i="9"/>
  <c r="U55" i="9"/>
  <c r="E35" i="8"/>
  <c r="F35" i="8"/>
  <c r="G35" i="8"/>
  <c r="H35" i="8"/>
  <c r="I35" i="8"/>
  <c r="J35" i="8"/>
  <c r="K35" i="8"/>
  <c r="L35" i="8"/>
  <c r="M35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6" i="8"/>
  <c r="R97" i="8"/>
  <c r="R98" i="8"/>
  <c r="R99" i="8"/>
  <c r="R100" i="8"/>
  <c r="R101" i="8"/>
  <c r="R102" i="8"/>
  <c r="R10" i="8"/>
  <c r="Q10" i="8"/>
  <c r="Q11" i="8"/>
  <c r="Q12" i="8"/>
  <c r="Q13" i="8"/>
  <c r="Q14" i="8"/>
  <c r="Q15" i="8"/>
  <c r="Q16" i="8"/>
  <c r="Q17" i="8"/>
  <c r="Q19" i="8"/>
  <c r="Q20" i="8"/>
  <c r="Q21" i="8"/>
  <c r="Q22" i="8"/>
  <c r="Q23" i="8"/>
  <c r="Q25" i="8"/>
  <c r="Q26" i="8"/>
  <c r="Q27" i="8"/>
  <c r="Q28" i="8"/>
  <c r="Q29" i="8"/>
  <c r="Q31" i="8"/>
  <c r="Q32" i="8"/>
  <c r="Q33" i="8"/>
  <c r="Q34" i="8"/>
  <c r="Q36" i="8"/>
  <c r="Q37" i="8"/>
  <c r="Q38" i="8"/>
  <c r="Q39" i="8"/>
  <c r="Q40" i="8"/>
  <c r="Q41" i="8"/>
  <c r="Q43" i="8"/>
  <c r="Q44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6" i="8"/>
  <c r="Q97" i="8"/>
  <c r="Q99" i="8"/>
  <c r="Q100" i="8"/>
  <c r="Q101" i="8"/>
  <c r="Q102" i="8"/>
  <c r="M94" i="8"/>
  <c r="L94" i="8"/>
  <c r="K94" i="8"/>
  <c r="J94" i="8"/>
  <c r="I94" i="8"/>
  <c r="H94" i="8"/>
  <c r="G94" i="8"/>
  <c r="F94" i="8"/>
  <c r="E94" i="8"/>
  <c r="I102" i="8"/>
  <c r="I101" i="8"/>
  <c r="I100" i="8"/>
  <c r="I97" i="8"/>
  <c r="I93" i="8"/>
  <c r="I92" i="8"/>
  <c r="I91" i="8"/>
  <c r="I90" i="8"/>
  <c r="I88" i="8"/>
  <c r="I87" i="8"/>
  <c r="I86" i="8"/>
  <c r="I84" i="8"/>
  <c r="I83" i="8"/>
  <c r="I82" i="8"/>
  <c r="I80" i="8"/>
  <c r="I79" i="8"/>
  <c r="I78" i="8"/>
  <c r="I74" i="8"/>
  <c r="I73" i="8"/>
  <c r="I72" i="8"/>
  <c r="I70" i="8"/>
  <c r="I69" i="8"/>
  <c r="I67" i="8"/>
  <c r="I66" i="8"/>
  <c r="I64" i="8"/>
  <c r="I63" i="8"/>
  <c r="I59" i="8"/>
  <c r="I57" i="8"/>
  <c r="I56" i="8"/>
  <c r="I55" i="8"/>
  <c r="I53" i="8"/>
  <c r="I51" i="8"/>
  <c r="I49" i="8"/>
  <c r="I47" i="8"/>
  <c r="I46" i="8"/>
  <c r="I44" i="8"/>
  <c r="I43" i="8"/>
  <c r="I41" i="8"/>
  <c r="I40" i="8"/>
  <c r="I39" i="8"/>
  <c r="I37" i="8"/>
  <c r="I36" i="8"/>
  <c r="I34" i="8"/>
  <c r="I33" i="8"/>
  <c r="I32" i="8"/>
  <c r="I31" i="8"/>
  <c r="I28" i="8"/>
  <c r="I27" i="8"/>
  <c r="I26" i="8"/>
  <c r="I25" i="8"/>
  <c r="I24" i="8"/>
  <c r="I22" i="8"/>
  <c r="I21" i="8"/>
  <c r="I20" i="8"/>
  <c r="I19" i="8"/>
  <c r="I18" i="8"/>
  <c r="I16" i="8"/>
  <c r="I15" i="8"/>
  <c r="I14" i="8"/>
  <c r="I13" i="8"/>
  <c r="I12" i="8"/>
  <c r="I11" i="8"/>
  <c r="I10" i="8"/>
  <c r="I9" i="8"/>
  <c r="N76" i="8"/>
  <c r="M91" i="8"/>
  <c r="L91" i="8"/>
  <c r="K91" i="8"/>
  <c r="J91" i="8"/>
  <c r="H91" i="8"/>
  <c r="G91" i="8"/>
  <c r="F91" i="8"/>
  <c r="E91" i="8"/>
  <c r="M90" i="8"/>
  <c r="L90" i="8"/>
  <c r="K90" i="8"/>
  <c r="J90" i="8"/>
  <c r="H90" i="8"/>
  <c r="G90" i="8"/>
  <c r="F90" i="8"/>
  <c r="E90" i="8"/>
  <c r="M40" i="8"/>
  <c r="L40" i="8"/>
  <c r="K40" i="8"/>
  <c r="J40" i="8"/>
  <c r="H40" i="8"/>
  <c r="G40" i="8"/>
  <c r="F40" i="8"/>
  <c r="E40" i="8"/>
  <c r="M102" i="8"/>
  <c r="L102" i="8"/>
  <c r="K102" i="8"/>
  <c r="J102" i="8"/>
  <c r="H102" i="8"/>
  <c r="G102" i="8"/>
  <c r="F102" i="8"/>
  <c r="E102" i="8"/>
  <c r="M101" i="8"/>
  <c r="L101" i="8"/>
  <c r="K101" i="8"/>
  <c r="J101" i="8"/>
  <c r="H101" i="8"/>
  <c r="G101" i="8"/>
  <c r="F101" i="8"/>
  <c r="E101" i="8"/>
  <c r="M100" i="8"/>
  <c r="L100" i="8"/>
  <c r="K100" i="8"/>
  <c r="J100" i="8"/>
  <c r="H100" i="8"/>
  <c r="G100" i="8"/>
  <c r="F100" i="8"/>
  <c r="N98" i="8"/>
  <c r="E100" i="8"/>
  <c r="M97" i="8"/>
  <c r="L97" i="8"/>
  <c r="K97" i="8"/>
  <c r="J97" i="8"/>
  <c r="H97" i="8"/>
  <c r="G97" i="8"/>
  <c r="F97" i="8"/>
  <c r="E97" i="8"/>
  <c r="M93" i="8"/>
  <c r="L93" i="8"/>
  <c r="K93" i="8"/>
  <c r="J93" i="8"/>
  <c r="H93" i="8"/>
  <c r="G93" i="8"/>
  <c r="F93" i="8"/>
  <c r="E93" i="8"/>
  <c r="M92" i="8"/>
  <c r="L92" i="8"/>
  <c r="K92" i="8"/>
  <c r="J92" i="8"/>
  <c r="H92" i="8"/>
  <c r="G92" i="8"/>
  <c r="F92" i="8"/>
  <c r="E92" i="8"/>
  <c r="M88" i="8"/>
  <c r="L88" i="8"/>
  <c r="K88" i="8"/>
  <c r="J88" i="8"/>
  <c r="H88" i="8"/>
  <c r="G88" i="8"/>
  <c r="F88" i="8"/>
  <c r="E88" i="8"/>
  <c r="M87" i="8"/>
  <c r="L87" i="8"/>
  <c r="K87" i="8"/>
  <c r="J87" i="8"/>
  <c r="H87" i="8"/>
  <c r="G87" i="8"/>
  <c r="F87" i="8"/>
  <c r="E87" i="8"/>
  <c r="M86" i="8"/>
  <c r="L86" i="8"/>
  <c r="K86" i="8"/>
  <c r="J86" i="8"/>
  <c r="H86" i="8"/>
  <c r="G86" i="8"/>
  <c r="F86" i="8"/>
  <c r="E86" i="8"/>
  <c r="M84" i="8"/>
  <c r="L84" i="8"/>
  <c r="K84" i="8"/>
  <c r="J84" i="8"/>
  <c r="H84" i="8"/>
  <c r="G84" i="8"/>
  <c r="F84" i="8"/>
  <c r="E84" i="8"/>
  <c r="M83" i="8"/>
  <c r="L83" i="8"/>
  <c r="K83" i="8"/>
  <c r="J83" i="8"/>
  <c r="H83" i="8"/>
  <c r="G83" i="8"/>
  <c r="F83" i="8"/>
  <c r="E83" i="8"/>
  <c r="M82" i="8"/>
  <c r="L82" i="8"/>
  <c r="K82" i="8"/>
  <c r="J82" i="8"/>
  <c r="H82" i="8"/>
  <c r="G82" i="8"/>
  <c r="F82" i="8"/>
  <c r="E82" i="8"/>
  <c r="M80" i="8"/>
  <c r="L80" i="8"/>
  <c r="K80" i="8"/>
  <c r="J80" i="8"/>
  <c r="H80" i="8"/>
  <c r="G80" i="8"/>
  <c r="F80" i="8"/>
  <c r="E80" i="8"/>
  <c r="M79" i="8"/>
  <c r="L79" i="8"/>
  <c r="K79" i="8"/>
  <c r="J79" i="8"/>
  <c r="H79" i="8"/>
  <c r="G79" i="8"/>
  <c r="F79" i="8"/>
  <c r="E79" i="8"/>
  <c r="M78" i="8"/>
  <c r="L78" i="8"/>
  <c r="K78" i="8"/>
  <c r="J78" i="8"/>
  <c r="H78" i="8"/>
  <c r="G78" i="8"/>
  <c r="F78" i="8"/>
  <c r="E78" i="8"/>
  <c r="M74" i="8"/>
  <c r="L74" i="8"/>
  <c r="K74" i="8"/>
  <c r="J74" i="8"/>
  <c r="H74" i="8"/>
  <c r="G74" i="8"/>
  <c r="F74" i="8"/>
  <c r="E74" i="8"/>
  <c r="M73" i="8"/>
  <c r="L73" i="8"/>
  <c r="K73" i="8"/>
  <c r="J73" i="8"/>
  <c r="H73" i="8"/>
  <c r="G73" i="8"/>
  <c r="F73" i="8"/>
  <c r="E73" i="8"/>
  <c r="M72" i="8"/>
  <c r="L72" i="8"/>
  <c r="K72" i="8"/>
  <c r="J72" i="8"/>
  <c r="H72" i="8"/>
  <c r="G72" i="8"/>
  <c r="F72" i="8"/>
  <c r="E72" i="8"/>
  <c r="M70" i="8"/>
  <c r="L70" i="8"/>
  <c r="K70" i="8"/>
  <c r="J70" i="8"/>
  <c r="H70" i="8"/>
  <c r="G70" i="8"/>
  <c r="F70" i="8"/>
  <c r="E70" i="8"/>
  <c r="M69" i="8"/>
  <c r="L69" i="8"/>
  <c r="K69" i="8"/>
  <c r="J69" i="8"/>
  <c r="H69" i="8"/>
  <c r="G69" i="8"/>
  <c r="F69" i="8"/>
  <c r="E69" i="8"/>
  <c r="M67" i="8"/>
  <c r="L67" i="8"/>
  <c r="K67" i="8"/>
  <c r="J67" i="8"/>
  <c r="H67" i="8"/>
  <c r="G67" i="8"/>
  <c r="F67" i="8"/>
  <c r="E67" i="8"/>
  <c r="M66" i="8"/>
  <c r="L66" i="8"/>
  <c r="K66" i="8"/>
  <c r="J66" i="8"/>
  <c r="H66" i="8"/>
  <c r="G66" i="8"/>
  <c r="F66" i="8"/>
  <c r="E66" i="8"/>
  <c r="M64" i="8"/>
  <c r="L64" i="8"/>
  <c r="K64" i="8"/>
  <c r="J64" i="8"/>
  <c r="H64" i="8"/>
  <c r="G64" i="8"/>
  <c r="F64" i="8"/>
  <c r="E64" i="8"/>
  <c r="M63" i="8"/>
  <c r="L63" i="8"/>
  <c r="K63" i="8"/>
  <c r="J63" i="8"/>
  <c r="H63" i="8"/>
  <c r="G63" i="8"/>
  <c r="F63" i="8"/>
  <c r="E63" i="8"/>
  <c r="M59" i="8"/>
  <c r="L59" i="8"/>
  <c r="K59" i="8"/>
  <c r="J59" i="8"/>
  <c r="H59" i="8"/>
  <c r="G59" i="8"/>
  <c r="F59" i="8"/>
  <c r="E59" i="8"/>
  <c r="M57" i="8"/>
  <c r="L57" i="8"/>
  <c r="K57" i="8"/>
  <c r="J57" i="8"/>
  <c r="H57" i="8"/>
  <c r="G57" i="8"/>
  <c r="F57" i="8"/>
  <c r="E57" i="8"/>
  <c r="M56" i="8"/>
  <c r="L56" i="8"/>
  <c r="K56" i="8"/>
  <c r="J56" i="8"/>
  <c r="H56" i="8"/>
  <c r="G56" i="8"/>
  <c r="F56" i="8"/>
  <c r="E56" i="8"/>
  <c r="M55" i="8"/>
  <c r="L55" i="8"/>
  <c r="K55" i="8"/>
  <c r="J55" i="8"/>
  <c r="H55" i="8"/>
  <c r="G55" i="8"/>
  <c r="F55" i="8"/>
  <c r="E55" i="8"/>
  <c r="M53" i="8"/>
  <c r="L53" i="8"/>
  <c r="K53" i="8"/>
  <c r="J53" i="8"/>
  <c r="H53" i="8"/>
  <c r="G53" i="8"/>
  <c r="F53" i="8"/>
  <c r="E53" i="8"/>
  <c r="M51" i="8"/>
  <c r="L51" i="8"/>
  <c r="K51" i="8"/>
  <c r="J51" i="8"/>
  <c r="H51" i="8"/>
  <c r="G51" i="8"/>
  <c r="F51" i="8"/>
  <c r="E51" i="8"/>
  <c r="M49" i="8"/>
  <c r="L49" i="8"/>
  <c r="K49" i="8"/>
  <c r="J49" i="8"/>
  <c r="H49" i="8"/>
  <c r="G49" i="8"/>
  <c r="F49" i="8"/>
  <c r="E49" i="8"/>
  <c r="M47" i="8"/>
  <c r="L47" i="8"/>
  <c r="K47" i="8"/>
  <c r="J47" i="8"/>
  <c r="H47" i="8"/>
  <c r="G47" i="8"/>
  <c r="F47" i="8"/>
  <c r="E47" i="8"/>
  <c r="M46" i="8"/>
  <c r="L46" i="8"/>
  <c r="K46" i="8"/>
  <c r="J46" i="8"/>
  <c r="H46" i="8"/>
  <c r="G46" i="8"/>
  <c r="F46" i="8"/>
  <c r="E46" i="8"/>
  <c r="M44" i="8"/>
  <c r="L44" i="8"/>
  <c r="K44" i="8"/>
  <c r="J44" i="8"/>
  <c r="H44" i="8"/>
  <c r="G44" i="8"/>
  <c r="F44" i="8"/>
  <c r="E44" i="8"/>
  <c r="M43" i="8"/>
  <c r="L43" i="8"/>
  <c r="K43" i="8"/>
  <c r="J43" i="8"/>
  <c r="H43" i="8"/>
  <c r="G43" i="8"/>
  <c r="F43" i="8"/>
  <c r="E43" i="8"/>
  <c r="M41" i="8"/>
  <c r="L41" i="8"/>
  <c r="K41" i="8"/>
  <c r="J41" i="8"/>
  <c r="H41" i="8"/>
  <c r="G41" i="8"/>
  <c r="F41" i="8"/>
  <c r="E41" i="8"/>
  <c r="M39" i="8"/>
  <c r="L39" i="8"/>
  <c r="K39" i="8"/>
  <c r="J39" i="8"/>
  <c r="H39" i="8"/>
  <c r="G39" i="8"/>
  <c r="F39" i="8"/>
  <c r="E39" i="8"/>
  <c r="M37" i="8"/>
  <c r="L37" i="8"/>
  <c r="K37" i="8"/>
  <c r="J37" i="8"/>
  <c r="H37" i="8"/>
  <c r="G37" i="8"/>
  <c r="F37" i="8"/>
  <c r="E37" i="8"/>
  <c r="M36" i="8"/>
  <c r="L36" i="8"/>
  <c r="K36" i="8"/>
  <c r="J36" i="8"/>
  <c r="H36" i="8"/>
  <c r="G36" i="8"/>
  <c r="F36" i="8"/>
  <c r="E36" i="8"/>
  <c r="M34" i="8"/>
  <c r="L34" i="8"/>
  <c r="K34" i="8"/>
  <c r="J34" i="8"/>
  <c r="H34" i="8"/>
  <c r="G34" i="8"/>
  <c r="F34" i="8"/>
  <c r="E34" i="8"/>
  <c r="M33" i="8"/>
  <c r="L33" i="8"/>
  <c r="K33" i="8"/>
  <c r="J33" i="8"/>
  <c r="H33" i="8"/>
  <c r="G33" i="8"/>
  <c r="F33" i="8"/>
  <c r="E33" i="8"/>
  <c r="M32" i="8"/>
  <c r="L32" i="8"/>
  <c r="K32" i="8"/>
  <c r="J32" i="8"/>
  <c r="H32" i="8"/>
  <c r="G32" i="8"/>
  <c r="F32" i="8"/>
  <c r="E32" i="8"/>
  <c r="M31" i="8"/>
  <c r="L31" i="8"/>
  <c r="K31" i="8"/>
  <c r="J31" i="8"/>
  <c r="H31" i="8"/>
  <c r="G31" i="8"/>
  <c r="F31" i="8"/>
  <c r="N30" i="8" s="1"/>
  <c r="E31" i="8"/>
  <c r="M28" i="8"/>
  <c r="L28" i="8"/>
  <c r="K28" i="8"/>
  <c r="J28" i="8"/>
  <c r="H28" i="8"/>
  <c r="G28" i="8"/>
  <c r="F28" i="8"/>
  <c r="E28" i="8"/>
  <c r="M27" i="8"/>
  <c r="L27" i="8"/>
  <c r="K27" i="8"/>
  <c r="J27" i="8"/>
  <c r="H27" i="8"/>
  <c r="G27" i="8"/>
  <c r="F27" i="8"/>
  <c r="E27" i="8"/>
  <c r="M26" i="8"/>
  <c r="L26" i="8"/>
  <c r="K26" i="8"/>
  <c r="J26" i="8"/>
  <c r="H26" i="8"/>
  <c r="G26" i="8"/>
  <c r="F26" i="8"/>
  <c r="E26" i="8"/>
  <c r="M25" i="8"/>
  <c r="L25" i="8"/>
  <c r="K25" i="8"/>
  <c r="J25" i="8"/>
  <c r="H25" i="8"/>
  <c r="G25" i="8"/>
  <c r="F25" i="8"/>
  <c r="E25" i="8"/>
  <c r="M24" i="8"/>
  <c r="L24" i="8"/>
  <c r="K24" i="8"/>
  <c r="J24" i="8"/>
  <c r="H24" i="8"/>
  <c r="G24" i="8"/>
  <c r="F24" i="8"/>
  <c r="E24" i="8"/>
  <c r="M22" i="8"/>
  <c r="L22" i="8"/>
  <c r="K22" i="8"/>
  <c r="J22" i="8"/>
  <c r="H22" i="8"/>
  <c r="G22" i="8"/>
  <c r="F22" i="8"/>
  <c r="E22" i="8"/>
  <c r="M21" i="8"/>
  <c r="L21" i="8"/>
  <c r="K21" i="8"/>
  <c r="J21" i="8"/>
  <c r="H21" i="8"/>
  <c r="G21" i="8"/>
  <c r="F21" i="8"/>
  <c r="E21" i="8"/>
  <c r="M20" i="8"/>
  <c r="L20" i="8"/>
  <c r="K20" i="8"/>
  <c r="J20" i="8"/>
  <c r="H20" i="8"/>
  <c r="G20" i="8"/>
  <c r="F20" i="8"/>
  <c r="E20" i="8"/>
  <c r="M19" i="8"/>
  <c r="L19" i="8"/>
  <c r="K19" i="8"/>
  <c r="J19" i="8"/>
  <c r="H19" i="8"/>
  <c r="G19" i="8"/>
  <c r="F19" i="8"/>
  <c r="E19" i="8"/>
  <c r="M18" i="8"/>
  <c r="L18" i="8"/>
  <c r="K18" i="8"/>
  <c r="J18" i="8"/>
  <c r="H18" i="8"/>
  <c r="G18" i="8"/>
  <c r="F18" i="8"/>
  <c r="E18" i="8"/>
  <c r="M16" i="8"/>
  <c r="L16" i="8"/>
  <c r="K16" i="8"/>
  <c r="J16" i="8"/>
  <c r="H16" i="8"/>
  <c r="G16" i="8"/>
  <c r="F16" i="8"/>
  <c r="E16" i="8"/>
  <c r="M15" i="8"/>
  <c r="L15" i="8"/>
  <c r="K15" i="8"/>
  <c r="J15" i="8"/>
  <c r="H15" i="8"/>
  <c r="G15" i="8"/>
  <c r="F15" i="8"/>
  <c r="E15" i="8"/>
  <c r="M14" i="8"/>
  <c r="L14" i="8"/>
  <c r="K14" i="8"/>
  <c r="J14" i="8"/>
  <c r="H14" i="8"/>
  <c r="G14" i="8"/>
  <c r="F14" i="8"/>
  <c r="E14" i="8"/>
  <c r="M13" i="8"/>
  <c r="L13" i="8"/>
  <c r="K13" i="8"/>
  <c r="J13" i="8"/>
  <c r="H13" i="8"/>
  <c r="G13" i="8"/>
  <c r="F13" i="8"/>
  <c r="E13" i="8"/>
  <c r="M12" i="8"/>
  <c r="L12" i="8"/>
  <c r="K12" i="8"/>
  <c r="J12" i="8"/>
  <c r="H12" i="8"/>
  <c r="G12" i="8"/>
  <c r="F12" i="8"/>
  <c r="E12" i="8"/>
  <c r="M11" i="8"/>
  <c r="L11" i="8"/>
  <c r="K11" i="8"/>
  <c r="J11" i="8"/>
  <c r="H11" i="8"/>
  <c r="G11" i="8"/>
  <c r="F11" i="8"/>
  <c r="E11" i="8"/>
  <c r="M10" i="8"/>
  <c r="L10" i="8"/>
  <c r="K10" i="8"/>
  <c r="J10" i="8"/>
  <c r="H10" i="8"/>
  <c r="G10" i="8"/>
  <c r="F10" i="8"/>
  <c r="E10" i="8"/>
  <c r="M9" i="8"/>
  <c r="L9" i="8"/>
  <c r="K9" i="8"/>
  <c r="J9" i="8"/>
  <c r="H9" i="8"/>
  <c r="G9" i="8"/>
  <c r="F9" i="8"/>
  <c r="N9" i="8" s="1"/>
  <c r="E9" i="8"/>
  <c r="E62" i="9"/>
  <c r="Q42" i="8"/>
  <c r="E54" i="9"/>
  <c r="E90" i="9"/>
  <c r="E83" i="9"/>
  <c r="E76" i="9"/>
  <c r="E75" i="9" s="1"/>
  <c r="E23" i="9"/>
  <c r="E17" i="9"/>
  <c r="E11" i="9"/>
  <c r="A113" i="9"/>
  <c r="A112" i="9"/>
  <c r="A111" i="9"/>
  <c r="A109" i="9"/>
  <c r="A16" i="9"/>
  <c r="A15" i="9"/>
  <c r="A14" i="9"/>
  <c r="A13" i="9"/>
  <c r="A12" i="9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N94" i="8" l="1"/>
  <c r="N59" i="8"/>
  <c r="P59" i="8" s="1"/>
  <c r="P76" i="8" s="1"/>
  <c r="P94" i="8" s="1"/>
  <c r="P98" i="8" s="1"/>
  <c r="N35" i="8"/>
  <c r="N45" i="8"/>
  <c r="N24" i="8"/>
  <c r="N18" i="8"/>
  <c r="P18" i="8" s="1"/>
  <c r="P24" i="8" s="1"/>
  <c r="P30" i="8" s="1"/>
  <c r="P35" i="8" s="1"/>
  <c r="P45" i="8" s="1"/>
  <c r="E10" i="9"/>
  <c r="E53" i="9"/>
  <c r="E8" i="9" s="1"/>
  <c r="N4" i="8" l="1"/>
</calcChain>
</file>

<file path=xl/sharedStrings.xml><?xml version="1.0" encoding="utf-8"?>
<sst xmlns="http://schemas.openxmlformats.org/spreadsheetml/2006/main" count="2114" uniqueCount="631">
  <si>
    <t>TRƯỜNG ĐẠI HỌC VĂN LANG</t>
  </si>
  <si>
    <t>KHOA CÔNG NGHỆ THÔNG TIN</t>
  </si>
  <si>
    <t>KẾ HOẠCH ĐÀO TẠO NGÀNH CÔNG NGHỆ THÔNG TIN - KHÓA 30</t>
  </si>
  <si>
    <t>TT</t>
  </si>
  <si>
    <t>Phân bổ học kỳ</t>
  </si>
  <si>
    <t>Năm Thứ</t>
  </si>
  <si>
    <t>Mã học phần</t>
  </si>
  <si>
    <t>Tên học phần (Tiếng Việt)</t>
  </si>
  <si>
    <t>Số tín chỉ</t>
  </si>
  <si>
    <t>Số tiết/giờ</t>
  </si>
  <si>
    <t>Bắt buộc/Tự chọn</t>
  </si>
  <si>
    <t>ĐK tiên quyết</t>
  </si>
  <si>
    <t>ĐK học trước</t>
  </si>
  <si>
    <t>Số TC/ HK</t>
  </si>
  <si>
    <t>Ghi chú</t>
  </si>
  <si>
    <t>LT</t>
  </si>
  <si>
    <t>TH</t>
  </si>
  <si>
    <t>ĐA</t>
  </si>
  <si>
    <t>HK241
1</t>
  </si>
  <si>
    <t>71ENG110013</t>
  </si>
  <si>
    <t>71ITBS10103</t>
  </si>
  <si>
    <t>71ITBS10203</t>
  </si>
  <si>
    <t>71SSK110023</t>
  </si>
  <si>
    <t>71NAD110013</t>
  </si>
  <si>
    <t>71NAD210022</t>
  </si>
  <si>
    <t>71NAD310032</t>
  </si>
  <si>
    <t>71NAD410044</t>
  </si>
  <si>
    <t>HK242
2</t>
  </si>
  <si>
    <t>71POLP10013</t>
  </si>
  <si>
    <t>71ENG210023</t>
  </si>
  <si>
    <t>71ITMA10104</t>
  </si>
  <si>
    <t>71ITNW30103</t>
  </si>
  <si>
    <t>71ITSE30103</t>
  </si>
  <si>
    <t>HK243
3</t>
  </si>
  <si>
    <t>71POLE10022</t>
  </si>
  <si>
    <t>71ENG310033</t>
  </si>
  <si>
    <t>71ITIS30103</t>
  </si>
  <si>
    <t>71ITSE30303</t>
  </si>
  <si>
    <t>71MATL10053</t>
  </si>
  <si>
    <t>HK251
4</t>
  </si>
  <si>
    <t>71ENG410043</t>
  </si>
  <si>
    <t>71ITSE30203</t>
  </si>
  <si>
    <t>71ITSE30503</t>
  </si>
  <si>
    <t>HK252
5</t>
  </si>
  <si>
    <t>71POLS10032</t>
  </si>
  <si>
    <t>71ENG510053</t>
  </si>
  <si>
    <t>71ITDS30103</t>
  </si>
  <si>
    <t>Chọn 2 trong 6 HP tự chọn Cơ sở ngành</t>
  </si>
  <si>
    <t>71ISBC30103</t>
  </si>
  <si>
    <t>71ITNW30303</t>
  </si>
  <si>
    <t>71ITDS40203</t>
  </si>
  <si>
    <t>71ITIS30303</t>
  </si>
  <si>
    <t>71ITIS30203</t>
  </si>
  <si>
    <t>71ITSE30403</t>
  </si>
  <si>
    <t>HK253
6</t>
  </si>
  <si>
    <t>71ENG610063</t>
  </si>
  <si>
    <t>71ITAI40103</t>
  </si>
  <si>
    <t>Chuyên ngành CNPM</t>
  </si>
  <si>
    <t>71ITSE41003</t>
  </si>
  <si>
    <t>Chuyên ngành CNDL</t>
  </si>
  <si>
    <t>71ITDS40303</t>
  </si>
  <si>
    <t>Chuyên ngành Trí tuệ Nhân tạo</t>
  </si>
  <si>
    <t>71ITAI40803</t>
  </si>
  <si>
    <t>Chọn 1 trong 3 HP tự chọn Cơ sở ngành sau</t>
  </si>
  <si>
    <t>71NWSE40103</t>
  </si>
  <si>
    <t>71ITSE30903</t>
  </si>
  <si>
    <t>71ITDS30203</t>
  </si>
  <si>
    <t>HK261
7</t>
  </si>
  <si>
    <t>71ENG710073</t>
  </si>
  <si>
    <t>71LAWG10012</t>
  </si>
  <si>
    <t>71ITSE41103</t>
  </si>
  <si>
    <t>71ITSE41203</t>
  </si>
  <si>
    <t>71ITAI40203</t>
  </si>
  <si>
    <t>71ITAI40303</t>
  </si>
  <si>
    <t>71ITAI41203</t>
  </si>
  <si>
    <t>71ITAI40503</t>
  </si>
  <si>
    <t>Chọn 1 trong 3 HP tự chọn Chuyên ngành sau</t>
  </si>
  <si>
    <t>71ITSE30603</t>
  </si>
  <si>
    <t>71ITAI51403</t>
  </si>
  <si>
    <t>71ITNW30403</t>
  </si>
  <si>
    <t>HK262
8</t>
  </si>
  <si>
    <t>71ITSE41403</t>
  </si>
  <si>
    <t>71ITSE41303</t>
  </si>
  <si>
    <t>71ITSE41503</t>
  </si>
  <si>
    <t>71ITDS40403</t>
  </si>
  <si>
    <t>71ITAI40903</t>
  </si>
  <si>
    <t>71ITDS40503</t>
  </si>
  <si>
    <t>71ITAI40603</t>
  </si>
  <si>
    <t>71ITAI40403</t>
  </si>
  <si>
    <t>71ITAI41303</t>
  </si>
  <si>
    <t>Chọn 2 trong 4 HP tự chọn Chuyên ngành sau</t>
  </si>
  <si>
    <t>71ITSE30703</t>
  </si>
  <si>
    <t>71ITSE31003</t>
  </si>
  <si>
    <t>71ITSE30803</t>
  </si>
  <si>
    <t>71ITSE41603</t>
  </si>
  <si>
    <t>HK263
9</t>
  </si>
  <si>
    <t>71POLC10052</t>
  </si>
  <si>
    <t>71POLH10042</t>
  </si>
  <si>
    <t>71ITIN40304</t>
  </si>
  <si>
    <t>HK271
10</t>
  </si>
  <si>
    <t>71ITGR40206</t>
  </si>
  <si>
    <t>71ITIS30603</t>
  </si>
  <si>
    <t>71ITIS30503</t>
  </si>
  <si>
    <t xml:space="preserve">TP. Hồ Chí Minh, ngày      tháng       năm </t>
  </si>
  <si>
    <t xml:space="preserve">TRƯỞNG KHOA </t>
  </si>
  <si>
    <t>KHUNG CHƯƠNG TRÌNH ĐÀO TẠO NGÀNH CÔNG NGHỆ THÔNG TIN KHÓA 30</t>
  </si>
  <si>
    <t>Tổng tín chỉ của CTĐT: 126 tín chỉ</t>
  </si>
  <si>
    <t>Tên học phần tiếng Việt</t>
  </si>
  <si>
    <t>Tên học phần tiếng Anh</t>
  </si>
  <si>
    <t>BB/TC</t>
  </si>
  <si>
    <t>Điều kiện tiên quyết</t>
  </si>
  <si>
    <t>Điều kiện học trước</t>
  </si>
  <si>
    <t>Khối kiến thức</t>
  </si>
  <si>
    <t>Tên chuyên ngành/chuyên sâu</t>
  </si>
  <si>
    <t>Mã BM</t>
  </si>
  <si>
    <t>BM phụ trách</t>
  </si>
  <si>
    <t>Học kỳ</t>
  </si>
  <si>
    <t>Năm thứ</t>
  </si>
  <si>
    <t>Pháp luật đại cương</t>
  </si>
  <si>
    <t>General Law</t>
  </si>
  <si>
    <t>BB</t>
  </si>
  <si>
    <t>Không</t>
  </si>
  <si>
    <t xml:space="preserve">Không </t>
  </si>
  <si>
    <t>Đại cương</t>
  </si>
  <si>
    <t>200110201</t>
  </si>
  <si>
    <t>Bộ Môn Luật Hành chính - Nhà nước</t>
  </si>
  <si>
    <t>Bộ môn Công nghệ kỹ thuật môi trường</t>
  </si>
  <si>
    <t>Toán cao cấp và ứng dụng</t>
  </si>
  <si>
    <t>Advanced Calculus</t>
  </si>
  <si>
    <t>200110701</t>
  </si>
  <si>
    <t>Bộ môn Khoa học dữ liệu</t>
  </si>
  <si>
    <t>Đại số tuyến tính và ứng dụng</t>
  </si>
  <si>
    <t>Linear Algebra</t>
  </si>
  <si>
    <t>Kỹ năng công dân toàn cầu</t>
  </si>
  <si>
    <t>2001206</t>
  </si>
  <si>
    <t>Trung tâm Phát triển năng lực sinh viên</t>
  </si>
  <si>
    <t>Triết học Mác-Lênin</t>
  </si>
  <si>
    <t>Philosophy of Marxism and Leninism</t>
  </si>
  <si>
    <t>Lý luận chính trị</t>
  </si>
  <si>
    <t>200111206</t>
  </si>
  <si>
    <t>Bộ môn Triết học và Chủ nghĩa XHKH</t>
  </si>
  <si>
    <t>Kinh tế chính trị Mác-Lênin</t>
  </si>
  <si>
    <t>Marxist – Leninist Political Economy</t>
  </si>
  <si>
    <t>[71POLP10013]Triết học Mác-Lênin</t>
  </si>
  <si>
    <t>200111208</t>
  </si>
  <si>
    <t>Bộ môn Kinh tế chính trị Mác - Lênin</t>
  </si>
  <si>
    <t>Chủ nghĩa xã hội khoa học</t>
  </si>
  <si>
    <t>Scientific Socialism</t>
  </si>
  <si>
    <t>Tư tưởng Hồ Chí Minh</t>
  </si>
  <si>
    <t>Ho Chi Minh's Thought</t>
  </si>
  <si>
    <t>[71POLE10022]Kinh tế chính trị Mác-Lênin, [71POLS10032]Chủ nghĩa xã hội khoa học</t>
  </si>
  <si>
    <t>200111207</t>
  </si>
  <si>
    <t>Bộ môn Lịch sử Đảng CSVN và Tư tưởng HCM</t>
  </si>
  <si>
    <t>Lịch sử Đảng Cộng sản Việt Nam</t>
  </si>
  <si>
    <t>History of Vietnamese Communist Party</t>
  </si>
  <si>
    <t>Anh văn 1 (AV1)</t>
  </si>
  <si>
    <t>English 1</t>
  </si>
  <si>
    <t>[71ENG010012]Anh văn dự bị (AV0)</t>
  </si>
  <si>
    <t>Ngoại ngữ</t>
  </si>
  <si>
    <t>Bộ môn Anh văn tổng quát</t>
  </si>
  <si>
    <t>Anh văn 2 (AV2)</t>
  </si>
  <si>
    <t>English 2</t>
  </si>
  <si>
    <t>[71ENG110013]Anh văn 1 (AV1)</t>
  </si>
  <si>
    <t>Anh văn 3 (AV3)</t>
  </si>
  <si>
    <t>English 3</t>
  </si>
  <si>
    <t>[71ENG210023]Anh văn 2 (AV2)</t>
  </si>
  <si>
    <t>Anh văn 4 (AV4)</t>
  </si>
  <si>
    <t>English 4</t>
  </si>
  <si>
    <t>[71ENG310033]Anh văn 3 (AV3)</t>
  </si>
  <si>
    <t>Anh văn 5 (AV5)</t>
  </si>
  <si>
    <t>English 5</t>
  </si>
  <si>
    <t>[71ENG410043]Anh văn 4 (AV4)</t>
  </si>
  <si>
    <t>Anh văn 6 (AV6)</t>
  </si>
  <si>
    <t>English 6</t>
  </si>
  <si>
    <t>[71ENG510053]Anh văn 5 (AV5)</t>
  </si>
  <si>
    <t>Anh văn 7 (AV7)</t>
  </si>
  <si>
    <t>English 7</t>
  </si>
  <si>
    <t>[71ENG610063]Anh văn 6 (AV6)</t>
  </si>
  <si>
    <t>71PEKC10062</t>
  </si>
  <si>
    <t>Cờ vua</t>
  </si>
  <si>
    <t>TC002 (2TC)</t>
  </si>
  <si>
    <t>Giáo dục thể chất và giáo dục quốc phòng</t>
  </si>
  <si>
    <t>Bộ môn Giáo dục thể chất</t>
  </si>
  <si>
    <t>71PESW10042</t>
  </si>
  <si>
    <t>Bơi lội</t>
  </si>
  <si>
    <t>71PEYO10142</t>
  </si>
  <si>
    <t>Hatha yoga</t>
  </si>
  <si>
    <t>71PEKC10172</t>
  </si>
  <si>
    <t>Cờ vua nâng cao</t>
  </si>
  <si>
    <t>TC102 (2TC)</t>
  </si>
  <si>
    <t>[71PEKC10062]Cờ vua</t>
  </si>
  <si>
    <t>71PEBA10052</t>
  </si>
  <si>
    <t>Cầu lông</t>
  </si>
  <si>
    <t>71PEBB10032</t>
  </si>
  <si>
    <t>Bóng rổ</t>
  </si>
  <si>
    <t>71PEDA10102</t>
  </si>
  <si>
    <t>Khiêu vũ</t>
  </si>
  <si>
    <t>71PEFI10072</t>
  </si>
  <si>
    <t>Fitness</t>
  </si>
  <si>
    <t>71PEFU10082</t>
  </si>
  <si>
    <t>Futsal</t>
  </si>
  <si>
    <t>71PEGO10092</t>
  </si>
  <si>
    <t>Golf</t>
  </si>
  <si>
    <t>71PEMA10132</t>
  </si>
  <si>
    <t>Võ thuật</t>
  </si>
  <si>
    <t>71PEMT10152</t>
  </si>
  <si>
    <t>Marathon</t>
  </si>
  <si>
    <t>71PESC10112</t>
  </si>
  <si>
    <t>Leo núi thể thao</t>
  </si>
  <si>
    <t>71PESS10162</t>
  </si>
  <si>
    <t>Bắn súng thể thao</t>
  </si>
  <si>
    <t>71PETE10122</t>
  </si>
  <si>
    <t>Tennis</t>
  </si>
  <si>
    <t>71PETT10012</t>
  </si>
  <si>
    <t>Bóng bàn</t>
  </si>
  <si>
    <t>71PEVB10022</t>
  </si>
  <si>
    <t>Bóng chuyền</t>
  </si>
  <si>
    <t>GDQP1: Đường lối QP và AN của ĐCSVN</t>
  </si>
  <si>
    <t/>
  </si>
  <si>
    <t>Bộ môn Giáo dục quốc phòng và an ninh</t>
  </si>
  <si>
    <t>GDQP2: Công tác quốc phòng và an ninh</t>
  </si>
  <si>
    <t>GDQP3: Quân sự chung</t>
  </si>
  <si>
    <t>GDQP4: Kỹ thuật chiến đấu bộ binh và chiến thuật</t>
  </si>
  <si>
    <t xml:space="preserve">Nhập môn Công nghệ thông tin </t>
  </si>
  <si>
    <t>Introduction to Information Technology</t>
  </si>
  <si>
    <t>Kiến thức cơ sở khối ngành</t>
  </si>
  <si>
    <t>200110704</t>
  </si>
  <si>
    <t>Bộ môn Quản trị Hệ thống thông tin</t>
  </si>
  <si>
    <t xml:space="preserve">Cơ sở lập trình </t>
  </si>
  <si>
    <t>Programming Basics</t>
  </si>
  <si>
    <t xml:space="preserve">Cơ sở dữ liệu </t>
  </si>
  <si>
    <t>Databases</t>
  </si>
  <si>
    <t xml:space="preserve">Nhập môn Mạng máy tính và điện toán đám mây </t>
  </si>
  <si>
    <t>Introduction to Computer Networks and Cloud Computing</t>
  </si>
  <si>
    <t>200110702</t>
  </si>
  <si>
    <t>Bộ môn Mạng máy tính &amp; Internet vạn vật kết nối</t>
  </si>
  <si>
    <t xml:space="preserve">Cấu trúc dữ liệu và giải thuật </t>
  </si>
  <si>
    <t>Data Structures and Algorithms</t>
  </si>
  <si>
    <t>[71ITBS10203]Cơ sở lập trình</t>
  </si>
  <si>
    <t xml:space="preserve">Toán rời rạc </t>
  </si>
  <si>
    <t>Discrete Mathematics</t>
  </si>
  <si>
    <t>[71ITMA10104]Toán cao cấp và ứng dụng</t>
  </si>
  <si>
    <t>Đổi mã cho đúng quy định</t>
  </si>
  <si>
    <t xml:space="preserve">Kỹ thuật lập trình </t>
  </si>
  <si>
    <t>Programming Techniques</t>
  </si>
  <si>
    <t>200110703</t>
  </si>
  <si>
    <t>Bộ môn Kỹ Thuật Phầm Mềm</t>
  </si>
  <si>
    <t xml:space="preserve">Lập trình hướng đối tượng </t>
  </si>
  <si>
    <t>Object-Oriented Programming</t>
  </si>
  <si>
    <t>Kiến thức cơ sở ngành</t>
  </si>
  <si>
    <t>Các nền tảng phát triển phần mềm</t>
  </si>
  <si>
    <t>Software Development Platforms</t>
  </si>
  <si>
    <t xml:space="preserve">Lập trình ứng dụng Web </t>
  </si>
  <si>
    <t>Web Application Programming</t>
  </si>
  <si>
    <t xml:space="preserve">Nhập môn Trí tuệ nhân tạo </t>
  </si>
  <si>
    <t>Introduction to Artificial Intelligence</t>
  </si>
  <si>
    <t>Nhập môn Phân tích Dữ liệu và Học sâu</t>
  </si>
  <si>
    <t>Introduction to Data Analytics and Deep Learning</t>
  </si>
  <si>
    <t>TC209</t>
  </si>
  <si>
    <t>Chuyển từ BB -&gt; TC; Theo hướng CNDL, TTNT</t>
  </si>
  <si>
    <t>Xác xuất thống kê ứng dụng</t>
  </si>
  <si>
    <t>Applicable Probability and Statistics</t>
  </si>
  <si>
    <t>Lập trình ứng dụng Java</t>
  </si>
  <si>
    <t>Java Application Programming</t>
  </si>
  <si>
    <t>Chuyển từ BB -&gt; TC; Theo hướng CNPM</t>
  </si>
  <si>
    <t>Nhập môn hệ thống nhúng</t>
  </si>
  <si>
    <t>Foundation of Embedded System</t>
  </si>
  <si>
    <t>Bổ sung môn học để SV có thêm sự lựa chọn</t>
  </si>
  <si>
    <t>Nhập môn Hệ thống thông tin</t>
  </si>
  <si>
    <t>Introduction to Information Systems</t>
  </si>
  <si>
    <t xml:space="preserve">An ninh Mạng máy tính </t>
  </si>
  <si>
    <t>Network Security</t>
  </si>
  <si>
    <t>Chuyển từ TC Chuyên ngành lên TC CS ngành giúp cho SV nhiều lựa chọn</t>
  </si>
  <si>
    <t>Quản lý Dự án Công nghệ Thông tin</t>
  </si>
  <si>
    <t>IT Project Management</t>
  </si>
  <si>
    <t>Chuyển từ TC Chuyên ngành lên TC CS ngành; Theo hướng quản lý</t>
  </si>
  <si>
    <t>Thiết kế giao diện người dùng</t>
  </si>
  <si>
    <t>User Interface Design</t>
  </si>
  <si>
    <t>Chuyển từ TC Chuyên ngành lên TC CS ngành; Theo hướng lập trình Front-end</t>
  </si>
  <si>
    <t xml:space="preserve">Nhập môn Công nghệ phần mềm </t>
  </si>
  <si>
    <t>Introduction to Software Technology</t>
  </si>
  <si>
    <t>Kiến thức chuyên ngành hoặc chuyên sâu</t>
  </si>
  <si>
    <t>Công nghệ Phần mềm</t>
  </si>
  <si>
    <t xml:space="preserve">Kỹ thuật lấy yêu cầu </t>
  </si>
  <si>
    <t>Requirements Engineering</t>
  </si>
  <si>
    <t xml:space="preserve">Kiểm thử phần mềm </t>
  </si>
  <si>
    <t>Software Testing</t>
  </si>
  <si>
    <t xml:space="preserve">Phân tích và thiết kế hệ thống theo Hướng đối tượng </t>
  </si>
  <si>
    <t>Object Oriented Analysis and Design</t>
  </si>
  <si>
    <t>[71ITSE41103]Kỹ thuật lấy yêu cầu</t>
  </si>
  <si>
    <t xml:space="preserve">Lập trình Web nâng cao </t>
  </si>
  <si>
    <t>Advanced Web Programming</t>
  </si>
  <si>
    <t xml:space="preserve">Quản lý dự án phần mềm </t>
  </si>
  <si>
    <t>Software Project Management</t>
  </si>
  <si>
    <t>Nhập môn Phân tích Dữ liệu lớn</t>
  </si>
  <si>
    <t>Introduction to BigData Analytics</t>
  </si>
  <si>
    <t>Công nghệ Dữ liệu</t>
  </si>
  <si>
    <t xml:space="preserve">Nhập môn học máy </t>
  </si>
  <si>
    <t>Introduction to Machine Learning</t>
  </si>
  <si>
    <t>[71ITDS40203]Xác xuất thống kê ứng dụng</t>
  </si>
  <si>
    <t xml:space="preserve">Các hệ hỗ trợ ra quyết định </t>
  </si>
  <si>
    <t>Decision Support Systems</t>
  </si>
  <si>
    <t xml:space="preserve">Số hóa và quản trị thông tin số </t>
  </si>
  <si>
    <t>Information Digitization and Management</t>
  </si>
  <si>
    <t xml:space="preserve">Lập trình tính toán song song </t>
  </si>
  <si>
    <t>Parallel Computational Programming</t>
  </si>
  <si>
    <t xml:space="preserve">[71ITSE30303]Cấu trúc dữ liệu và giải thuật </t>
  </si>
  <si>
    <t>Mã hóa dữ liệu và chuỗi khối (Block chain)</t>
  </si>
  <si>
    <t>Data Encryption and Security</t>
  </si>
  <si>
    <t>[71ITIS30103]Cơ sở dữ liệu</t>
  </si>
  <si>
    <t xml:space="preserve">Nhập môn xử lý ảnh số </t>
  </si>
  <si>
    <t>Introduction to Digital Image Processing</t>
  </si>
  <si>
    <t>Trí tuệ Nhân tạo</t>
  </si>
  <si>
    <t>Học máy ứng dụng</t>
  </si>
  <si>
    <t>Applied Machine Learning</t>
  </si>
  <si>
    <t>Trí tuệ nhân tạo ứng dụng</t>
  </si>
  <si>
    <t>Applied Artificial Intelligence</t>
  </si>
  <si>
    <t xml:space="preserve">Thị giác máy tính </t>
  </si>
  <si>
    <t>Computer Vision</t>
  </si>
  <si>
    <t xml:space="preserve">[71ITAI41203]Học máy và ứng dụng </t>
  </si>
  <si>
    <t>Giới thiệu về học sâu</t>
  </si>
  <si>
    <t>Introduction to Deep learning</t>
  </si>
  <si>
    <t>[71ITAI40503]Trí tuệ nhân tạo ứng dụng</t>
  </si>
  <si>
    <t>Các công cụ và nền tảng cho trí tuệ nhân tạo</t>
  </si>
  <si>
    <t>Tools and Platforms for Artificial Intelligence</t>
  </si>
  <si>
    <t xml:space="preserve">Lập trình di động nâng cao </t>
  </si>
  <si>
    <t>Advanced Mobile Programming</t>
  </si>
  <si>
    <t>TC309</t>
  </si>
  <si>
    <t>[71ITSE30603]Lập trình ứng dụng di động</t>
  </si>
  <si>
    <t>Tự chọn Chuyên ngành</t>
  </si>
  <si>
    <t>Lập trình Java nâng cao</t>
  </si>
  <si>
    <t>Advanced Java Programming</t>
  </si>
  <si>
    <t>[71ITSE30403]Lập trình ứng dụng Java</t>
  </si>
  <si>
    <t>Lập trình Python nâng cao</t>
  </si>
  <si>
    <t>Advanced Python Programming</t>
  </si>
  <si>
    <t>Lập trình Hệ thống nhúng và Mạng kết nối vạn vật</t>
  </si>
  <si>
    <t>Programming for Embedded Systems and Internet of Things</t>
  </si>
  <si>
    <t xml:space="preserve">Kiểm thử tự động </t>
  </si>
  <si>
    <t>Automation Testing</t>
  </si>
  <si>
    <t>[71ITSE41203]Kiểm thử phần mềm</t>
  </si>
  <si>
    <t>Nhập môn tối ưu hóa</t>
  </si>
  <si>
    <t>Introduction to Optimization</t>
  </si>
  <si>
    <t xml:space="preserve">Hệ Quản trị Cơ sở dữ liệu </t>
  </si>
  <si>
    <t>Database Management System</t>
  </si>
  <si>
    <t xml:space="preserve">Lập trình ứng dụng di động </t>
  </si>
  <si>
    <t>Mobile Application Programming</t>
  </si>
  <si>
    <t xml:space="preserve">Đồ án thực tập </t>
  </si>
  <si>
    <t xml:space="preserve">Internship Project </t>
  </si>
  <si>
    <t>Học kỳ doanh nghiệp</t>
  </si>
  <si>
    <t>Đồ án Tốt nghiệp</t>
  </si>
  <si>
    <t>Graduation Projects</t>
  </si>
  <si>
    <t>TC406</t>
  </si>
  <si>
    <t>Khóa luận/đồ án tốt nghiệp; hoặc học phần thay thế KL/ĐA TN</t>
  </si>
  <si>
    <t>Đổi tên môn --&gt; đổi mã</t>
  </si>
  <si>
    <t>Bổ sung lại (các khóa trước có)</t>
  </si>
  <si>
    <t xml:space="preserve">E-Commerce </t>
  </si>
  <si>
    <t>Khối kiến thức: I.  Kiến thức giáo dục đại cương</t>
  </si>
  <si>
    <t>TC</t>
  </si>
  <si>
    <t xml:space="preserve">Khối kiến thức: I. Kiến thức giáo dục đại cương </t>
  </si>
  <si>
    <t xml:space="preserve">Khối kiến thức: I.1. Lý luận chính trị </t>
  </si>
  <si>
    <t xml:space="preserve">Khối kiến thức: I.2. Ngoại ngữ </t>
  </si>
  <si>
    <t xml:space="preserve">Khối kiến thức: I.6. Giáo dục thể chất và giáo dục quốc phòng </t>
  </si>
  <si>
    <t>BBKTL</t>
  </si>
  <si>
    <t>Khối kiến thức: II.  Kiến thức giáo dục chuyên nghiệp</t>
  </si>
  <si>
    <t xml:space="preserve">Khối kiến thức: II.1. Kiến thức cơ sở khối ngành </t>
  </si>
  <si>
    <t xml:space="preserve">Khối kiến thức: II.2. Kiến thức cơ sở ngành </t>
  </si>
  <si>
    <t xml:space="preserve">Khối kiến thức: II.3.2. Kiến thức chuyên ngành hoặc chuyên sâu (phân nhánh định hướng nghề nghiệp của ngành) </t>
  </si>
  <si>
    <t>Khối kiến thức: II.3.2-1. Chuyên ngành Công nghệ Phần mềm</t>
  </si>
  <si>
    <t>Khối kiến thức: II.3.2-2. Chuyên ngành Công nghệ Dữ liệu</t>
  </si>
  <si>
    <t>Khối kiến thức: II.3.2-3. Chuyên ngành Trí tuệ Nhân tạo</t>
  </si>
  <si>
    <t>Khối kiến thức: II.3.2-5. Chuyên ngành Tự chọn</t>
  </si>
  <si>
    <t xml:space="preserve">Khối kiến thức: II.4.1. Thực tập tốt nghiệp (hoặc học kỳ doanh nghiệp) </t>
  </si>
  <si>
    <t xml:space="preserve">Khối kiến thức: II.4.2.  Khóa luận/đồ án tốt nghiệp; hoặc học phần thay thế KL/ĐA TN </t>
  </si>
  <si>
    <r>
      <t xml:space="preserve">TRƯỜNG ĐẠI HỌC VĂN LANG
</t>
    </r>
    <r>
      <rPr>
        <b/>
        <sz val="10"/>
        <color theme="1"/>
        <rFont val="Calibri"/>
        <family val="2"/>
      </rPr>
      <t>PHÒNG ĐÀO TẠO</t>
    </r>
  </si>
  <si>
    <t>DANH MỤC  BỘ MÔN  THEO  TỜ TRÌNH ĐÃ ĐƯỢC HIỆU TRƯỞNG PHÊ DUYỆT
(Theo tờ trình số 01/TTr-ĐHVL-BCL, ngày 27 tháng 02 năm 2021)</t>
  </si>
  <si>
    <t>STT</t>
  </si>
  <si>
    <t>Mã Bộ môn</t>
  </si>
  <si>
    <t>Tên Bộ môn</t>
  </si>
  <si>
    <t>Mã đơn vị</t>
  </si>
  <si>
    <t>Tên đơn vị</t>
  </si>
  <si>
    <t>200110101</t>
  </si>
  <si>
    <t>Bộ môn Kế toán quản trị</t>
  </si>
  <si>
    <t>2001101</t>
  </si>
  <si>
    <t>Khoa Kế toán - Kiểm toán</t>
  </si>
  <si>
    <t>200110102</t>
  </si>
  <si>
    <t>Bộ môn Kế toán tài chính và Thực hành kế toán</t>
  </si>
  <si>
    <t>200110103</t>
  </si>
  <si>
    <t>Bộ môn Nguyên lý kế toán và Kiểm toán</t>
  </si>
  <si>
    <t>Bộ môn Luật Hiến pháp - Hành chính</t>
  </si>
  <si>
    <t>2001102</t>
  </si>
  <si>
    <t>Khoa Luật</t>
  </si>
  <si>
    <t>200110202</t>
  </si>
  <si>
    <t>Bộ môn Luật Quốc tế</t>
  </si>
  <si>
    <t>200110203</t>
  </si>
  <si>
    <t>Bộ môn Luật Thương mại - Dân sự</t>
  </si>
  <si>
    <t>200110204</t>
  </si>
  <si>
    <t>Bộ môn Luật hình sự</t>
  </si>
  <si>
    <t>200110301</t>
  </si>
  <si>
    <t>Bộ môn Kỹ năng ngôn ngữ</t>
  </si>
  <si>
    <t>2001103</t>
  </si>
  <si>
    <t>Khoa Ngoại ngữ</t>
  </si>
  <si>
    <t>200110302</t>
  </si>
  <si>
    <t>Bộ môn Ngoại ngữ 2 Và Ngôn Ngữ Trung</t>
  </si>
  <si>
    <t>200110303</t>
  </si>
  <si>
    <t>Bộ môn Ngôn ngữ chuyên ngành</t>
  </si>
  <si>
    <t>200110304</t>
  </si>
  <si>
    <t>Bộ môn Chương trình đào tạo đặc biệt &amp; liên kết quốc tế</t>
  </si>
  <si>
    <t>200110401</t>
  </si>
  <si>
    <t>Bộ môn Quản Trị Chất Lượng</t>
  </si>
  <si>
    <t>2001104</t>
  </si>
  <si>
    <t>Khoa Quản trị kinh doanh</t>
  </si>
  <si>
    <t>200110402</t>
  </si>
  <si>
    <t>Bộ môn Quản Trị Dự Án</t>
  </si>
  <si>
    <t>200110403</t>
  </si>
  <si>
    <t>Bộ môn Quản Trị Khởi Nghiệp</t>
  </si>
  <si>
    <t>200110404</t>
  </si>
  <si>
    <t>Bộ môn Quản trị tổng hợp</t>
  </si>
  <si>
    <t>200110405</t>
  </si>
  <si>
    <t>Bộ môn Quản trị nhân sự</t>
  </si>
  <si>
    <t>200110406</t>
  </si>
  <si>
    <t>Bộ môn Quản trị vận hành</t>
  </si>
  <si>
    <t>200110407</t>
  </si>
  <si>
    <t>Bộ môn Kinh tế cơ bản</t>
  </si>
  <si>
    <t>200110501</t>
  </si>
  <si>
    <t>Bộ môn Tài chính doanh nghiệp</t>
  </si>
  <si>
    <t>2001105</t>
  </si>
  <si>
    <t>Khoa Tài chính - Ngân hàng</t>
  </si>
  <si>
    <t>200110502</t>
  </si>
  <si>
    <t>Bộ môn Đầu tư tài chính</t>
  </si>
  <si>
    <t>200110503</t>
  </si>
  <si>
    <t>Bộ môn Bất động sản</t>
  </si>
  <si>
    <t>200110504</t>
  </si>
  <si>
    <t>Bộ môn Ngân hàng</t>
  </si>
  <si>
    <t>200110505</t>
  </si>
  <si>
    <t>Bộ môn Quản Trị Rủi Ro Và Bảo Hiểm</t>
  </si>
  <si>
    <t>200110601</t>
  </si>
  <si>
    <t>Bộ môn Kinh doanh thương mại</t>
  </si>
  <si>
    <t>2001106</t>
  </si>
  <si>
    <t>Khoa Thương mại</t>
  </si>
  <si>
    <t>200110602</t>
  </si>
  <si>
    <t>Bộ môn Marketing</t>
  </si>
  <si>
    <t>200110603</t>
  </si>
  <si>
    <t>Bộ môn Logistic và Quản trị chuỗi cung ứng</t>
  </si>
  <si>
    <t>2001107</t>
  </si>
  <si>
    <t>Khoa Công nghệ thông tin</t>
  </si>
  <si>
    <t>200110801</t>
  </si>
  <si>
    <t>Bộ môn Thiết kế kiến trúc</t>
  </si>
  <si>
    <t>2001108</t>
  </si>
  <si>
    <t>Khoa Kiến trúc</t>
  </si>
  <si>
    <t>200110802</t>
  </si>
  <si>
    <t>Bộ môn Kỹ thuật kiến trúc</t>
  </si>
  <si>
    <t>200110803</t>
  </si>
  <si>
    <t>Bộ môn Lý thuyết kiến trúc</t>
  </si>
  <si>
    <t>200110901</t>
  </si>
  <si>
    <t>Bộ môn Mỹ thuật cơ bản</t>
  </si>
  <si>
    <t>2001109</t>
  </si>
  <si>
    <t>Khoa Mỹ thuật và Thiết kế</t>
  </si>
  <si>
    <t>200110902</t>
  </si>
  <si>
    <t>Bộ môn Thiết kế công nghiệp</t>
  </si>
  <si>
    <t>200110903</t>
  </si>
  <si>
    <t>Bộ môn Thiết Kế Đồ họa</t>
  </si>
  <si>
    <t>200110904</t>
  </si>
  <si>
    <t>Bộ môn Thiết kế nội thất</t>
  </si>
  <si>
    <t>200110905</t>
  </si>
  <si>
    <t>Bộ môn Thiết kế thời trang</t>
  </si>
  <si>
    <t>200110906</t>
  </si>
  <si>
    <t>Bộ môn Đồ họa truyền thông tương tác</t>
  </si>
  <si>
    <t>200111001</t>
  </si>
  <si>
    <t>Bộ môn Truyền thông đa phương tiện</t>
  </si>
  <si>
    <t>2001110</t>
  </si>
  <si>
    <t>Khoa Quan hệ công chúng - Truyền thông</t>
  </si>
  <si>
    <t>200111002</t>
  </si>
  <si>
    <t>Bộ môn PR trong doanh nghiệp</t>
  </si>
  <si>
    <t>200111003</t>
  </si>
  <si>
    <t>Bộ môn Báo chí</t>
  </si>
  <si>
    <t>200111101</t>
  </si>
  <si>
    <t>Bộ môn Cơ sở</t>
  </si>
  <si>
    <t>2001111</t>
  </si>
  <si>
    <t>Khoa Xây Dựng</t>
  </si>
  <si>
    <t>200111102</t>
  </si>
  <si>
    <t>Bộ môn Công trình</t>
  </si>
  <si>
    <t>200111103</t>
  </si>
  <si>
    <t>Bộ môn Cầu Đường</t>
  </si>
  <si>
    <t>200111104</t>
  </si>
  <si>
    <t>Bộ môn Kinh tế và Quản lý xây dựng</t>
  </si>
  <si>
    <t>200111203</t>
  </si>
  <si>
    <t>Bộ môn Lý-Hóa</t>
  </si>
  <si>
    <t>2001112</t>
  </si>
  <si>
    <t>Khoa Khoa học cơ bản</t>
  </si>
  <si>
    <t>200111204</t>
  </si>
  <si>
    <t>Bộ môn Toán</t>
  </si>
  <si>
    <t>200111205</t>
  </si>
  <si>
    <t>Bộ môn Tin học đại cương</t>
  </si>
  <si>
    <t>Bộ môn Triết học &amp; Chủ nghĩa XHKH</t>
  </si>
  <si>
    <t>Bộ môn Lịch sử Đảng CSVN&amp; Tư tưởng HCM</t>
  </si>
  <si>
    <t>200111301</t>
  </si>
  <si>
    <t>Bộ môn Công nghệ sinh học</t>
  </si>
  <si>
    <t>2001113</t>
  </si>
  <si>
    <t>Khoa Công nghệ</t>
  </si>
  <si>
    <t>200111302</t>
  </si>
  <si>
    <t>Bộ môn Công Nghệ Kỹ Thuật Môi trường</t>
  </si>
  <si>
    <t>200111303</t>
  </si>
  <si>
    <t>Bộ môn Công Nghệ Sinh Y Dược</t>
  </si>
  <si>
    <t>200111304</t>
  </si>
  <si>
    <t>Bộ môn Quản Trị Công Nghệ Sinh Học</t>
  </si>
  <si>
    <t>200111401</t>
  </si>
  <si>
    <t>Bộ môn CNKT Điện - Điện tử</t>
  </si>
  <si>
    <t>2001114</t>
  </si>
  <si>
    <t>Khoa Kỹ thuật</t>
  </si>
  <si>
    <t>200111402</t>
  </si>
  <si>
    <t>Bộ môn Cơ điện tử</t>
  </si>
  <si>
    <t>200111403</t>
  </si>
  <si>
    <t>200111404</t>
  </si>
  <si>
    <t>Bộ môn Nhiệt</t>
  </si>
  <si>
    <t>200111405</t>
  </si>
  <si>
    <t>Bộ môn kỹ thuật phần mềm</t>
  </si>
  <si>
    <t>200111501</t>
  </si>
  <si>
    <t>Bộ môn Động cơ và Khung gầm</t>
  </si>
  <si>
    <t>2001115</t>
  </si>
  <si>
    <t>Khoa Công nghệ ô tô</t>
  </si>
  <si>
    <t>200111502</t>
  </si>
  <si>
    <t>Bộ môn Cơ sở kỹ thuật ô tô</t>
  </si>
  <si>
    <t>200111503</t>
  </si>
  <si>
    <t>Bộ môn Điện - Tự động ô tô</t>
  </si>
  <si>
    <t>200111601</t>
  </si>
  <si>
    <t>Bộ môn Tâm lý học</t>
  </si>
  <si>
    <t>2001116</t>
  </si>
  <si>
    <t>Khoa Xã hội và Nhân văn</t>
  </si>
  <si>
    <t>200111602</t>
  </si>
  <si>
    <t>Bộ môn Văn học</t>
  </si>
  <si>
    <t>200111603</t>
  </si>
  <si>
    <t>Bộ môn Hàn Quốc Học</t>
  </si>
  <si>
    <t>200111604</t>
  </si>
  <si>
    <t>Bộ môn Nhật Bản Học</t>
  </si>
  <si>
    <t>200111605</t>
  </si>
  <si>
    <t>Bộ môn Trung Quốc Học</t>
  </si>
  <si>
    <t>200111606</t>
  </si>
  <si>
    <t>Bộ môn Công tác xã hội</t>
  </si>
  <si>
    <t>200111701</t>
  </si>
  <si>
    <t>Bộ môn Dược học</t>
  </si>
  <si>
    <t>2001117</t>
  </si>
  <si>
    <t>Khoa Dược</t>
  </si>
  <si>
    <t>200111801</t>
  </si>
  <si>
    <t>Bộ môn Điều dưỡng</t>
  </si>
  <si>
    <t>2001118</t>
  </si>
  <si>
    <t>Khoa Điều dưỡng và Kỹ thuật Y học</t>
  </si>
  <si>
    <t>200111802</t>
  </si>
  <si>
    <t>Bộ môn Kỹ thuật Xét nghiệm y học</t>
  </si>
  <si>
    <t>200111803</t>
  </si>
  <si>
    <t>Bộ môn Phòng thí nghiệm</t>
  </si>
  <si>
    <t>200112001</t>
  </si>
  <si>
    <t>Bộ môn Y cơ sở</t>
  </si>
  <si>
    <t>2001120</t>
  </si>
  <si>
    <t>Khoa Y</t>
  </si>
  <si>
    <t>200112101</t>
  </si>
  <si>
    <t>Bộ môn Piano</t>
  </si>
  <si>
    <t>2001121</t>
  </si>
  <si>
    <t>Khoa Nghệ thuật ứng dụng</t>
  </si>
  <si>
    <t>200112102</t>
  </si>
  <si>
    <t>Bộ môn Thanh nhạc</t>
  </si>
  <si>
    <t>200112103</t>
  </si>
  <si>
    <t>Bộ môn Nghệ thuật</t>
  </si>
  <si>
    <t>200112201</t>
  </si>
  <si>
    <t>Bộ môn Răng hàm mặt</t>
  </si>
  <si>
    <t>2001122</t>
  </si>
  <si>
    <t>Khoa Răng Hàm Mặt</t>
  </si>
  <si>
    <t>200112202</t>
  </si>
  <si>
    <t>Bộ môn Nha khoa phục hồi và thẩm mỹ</t>
  </si>
  <si>
    <t>200112203</t>
  </si>
  <si>
    <t>Bộ môn Nha khoa phẫu thuật</t>
  </si>
  <si>
    <t>200112204</t>
  </si>
  <si>
    <t>Bộ môn Nha khoa công cộng</t>
  </si>
  <si>
    <t>200112205</t>
  </si>
  <si>
    <t>Bộ môn Nha khoa cơ sở</t>
  </si>
  <si>
    <t>200112206</t>
  </si>
  <si>
    <t>Bộ môn Nha khoa Thực hành</t>
  </si>
  <si>
    <t>200112207</t>
  </si>
  <si>
    <t>Bộ môn Bệnh học và Phẫu thuật hàm mặt</t>
  </si>
  <si>
    <t>200112301</t>
  </si>
  <si>
    <t>Bộ môn Y học cổ truyền</t>
  </si>
  <si>
    <t>2001123</t>
  </si>
  <si>
    <t>Khoa Y học cổ truyền</t>
  </si>
  <si>
    <t>200112401</t>
  </si>
  <si>
    <t>Bộ môn Quản Trị Dịch Vụ Du Lịch Và Lữ hành</t>
  </si>
  <si>
    <t>2001124</t>
  </si>
  <si>
    <t>Khoa Du lịch</t>
  </si>
  <si>
    <t>200112402</t>
  </si>
  <si>
    <t>Bộ môn Quản Trị Khách sạn</t>
  </si>
  <si>
    <t>200112403</t>
  </si>
  <si>
    <t>Bộ môn Quản Trị Nhà Hàng Và Dịch Vụ Ăn Uống</t>
  </si>
  <si>
    <t>200112501</t>
  </si>
  <si>
    <t>Bộ môn Công nghệ thực phẩm</t>
  </si>
  <si>
    <t>2001125</t>
  </si>
  <si>
    <t>Viện Khoa học Công nghệ ứng dụng</t>
  </si>
  <si>
    <t>200112502</t>
  </si>
  <si>
    <t>Bộ môn Nông nghiệp công nghệ cao</t>
  </si>
  <si>
    <t>200112601</t>
  </si>
  <si>
    <t>2001126</t>
  </si>
  <si>
    <t>Viện Ngôn ngữ</t>
  </si>
  <si>
    <t>200113301</t>
  </si>
  <si>
    <t>2001133</t>
  </si>
  <si>
    <t>Phòng Giáo dục Quốc phòng và An ninh</t>
  </si>
  <si>
    <t>2001135</t>
  </si>
  <si>
    <t>Trung tâm thể dục thể thao</t>
  </si>
  <si>
    <t>Cập nhật ngày 02 tháng 7 năm 2021 (Theo dữ liệu HRM cung cấp)</t>
  </si>
  <si>
    <t>71ENVH10012</t>
  </si>
  <si>
    <t>Môi trường và con người</t>
  </si>
  <si>
    <t>71ITMA10403</t>
  </si>
  <si>
    <t>GS. TS. VÕ NGUYỄN QUỐC BẢO</t>
  </si>
  <si>
    <t>TP. Hồ Chí Minh, ngày  19  tháng 01 năm 2025</t>
  </si>
  <si>
    <t>[71ITBS10103]Nhập môn công nghệ thông tin</t>
  </si>
  <si>
    <t>[71ITMA10403]Toán rời rạc</t>
  </si>
  <si>
    <t>[71ITSE41003]Nhập môn công nghệ phần mềm</t>
  </si>
  <si>
    <t>[71ITSE30503]Lập trình ứng dụng web</t>
  </si>
  <si>
    <t>[71ITSE30103] Kỹ thuật lập trình</t>
  </si>
  <si>
    <t>Dựa theo quy định cụ thể của Khoa cho từng chuyên ngành</t>
  </si>
  <si>
    <t>Thương mại điện tử và Mạng xã hội</t>
  </si>
  <si>
    <t>TC306</t>
  </si>
  <si>
    <t>Không </t>
  </si>
  <si>
    <t xml:space="preserve">Tiếp thị trực tuyến và tối ưu hóa máy tìm kiếm </t>
  </si>
  <si>
    <t>Healthcare Information Systems</t>
  </si>
  <si>
    <t>71ITGR40203</t>
  </si>
  <si>
    <t>Chuyên đề Tốt nghiệp 1</t>
  </si>
  <si>
    <t>Specialized Graduation Topic I</t>
  </si>
  <si>
    <t>71ITGR40303</t>
  </si>
  <si>
    <t>Chuyên đề Tốt nghiệp 2</t>
  </si>
  <si>
    <t>Specialized Graduation Topic II</t>
  </si>
  <si>
    <t>Học phần thay thế Đồ án tốt nghiệp</t>
  </si>
  <si>
    <t>Bổ sung môn mới</t>
  </si>
  <si>
    <t>Khoa CNTT</t>
  </si>
  <si>
    <t>Dựa theo quy định cụ thể của Khoa về Triển khai Học và làm ĐATN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</si>
</sst>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5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10"/>
      <color theme="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Times New Roman"/>
      <family val="2"/>
    </font>
    <font>
      <sz val="13"/>
      <name val="Times New Roman"/>
      <family val="2"/>
    </font>
    <font>
      <b/>
      <sz val="16"/>
      <color rgb="FFFF0000"/>
      <name val="Times New Roman"/>
      <family val="1"/>
    </font>
    <font>
      <sz val="8"/>
      <color theme="1"/>
      <name val="Times New Roman"/>
      <family val="2"/>
    </font>
    <font>
      <sz val="8"/>
      <name val="Times New Roman"/>
      <family val="2"/>
    </font>
    <font>
      <b/>
      <sz val="11"/>
      <name val="Times New Roman"/>
      <family val="2"/>
    </font>
    <font>
      <sz val="11"/>
      <name val="Times New Roman"/>
      <family val="2"/>
    </font>
    <font>
      <sz val="11"/>
      <color theme="8" tint="-0.499984740745262"/>
      <name val="Times New Roman"/>
      <family val="1"/>
    </font>
    <font>
      <b/>
      <sz val="11"/>
      <color theme="8" tint="-0.499984740745262"/>
      <name val="Times New Roman"/>
      <family val="1"/>
    </font>
    <font>
      <sz val="11"/>
      <color theme="5" tint="0.79998168889431442"/>
      <name val="Times New Roman"/>
      <family val="1"/>
    </font>
    <font>
      <sz val="10"/>
      <name val="Calibri"/>
      <family val="2"/>
      <scheme val="minor"/>
    </font>
    <font>
      <b/>
      <sz val="13"/>
      <color rgb="FF0070C0"/>
      <name val="Times New Roman"/>
      <family val="1"/>
    </font>
    <font>
      <strike/>
      <sz val="11"/>
      <color theme="1"/>
      <name val="Times New Roman"/>
      <family val="1"/>
    </font>
    <font>
      <strike/>
      <sz val="13"/>
      <color theme="1"/>
      <name val="Times New Roman"/>
      <family val="1"/>
    </font>
    <font>
      <strike/>
      <sz val="11"/>
      <name val="Times New Roman"/>
      <family val="1"/>
    </font>
    <font>
      <sz val="11"/>
      <color theme="1"/>
      <name val="Times New Roman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5"/>
      <color theme="1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sz val="11"/>
      <color theme="0" tint="-0.34998626667073579"/>
      <name val="Times New Roman"/>
      <family val="1"/>
    </font>
    <font>
      <sz val="13"/>
      <color theme="0" tint="-0.34998626667073579"/>
      <name val="Times New Roman"/>
      <family val="1"/>
    </font>
    <font>
      <sz val="12"/>
      <name val="Tahoma"/>
      <family val="2"/>
    </font>
    <font>
      <sz val="11"/>
      <name val="Tahoma"/>
      <family val="2"/>
    </font>
    <font>
      <sz val="12"/>
      <color theme="1"/>
      <name val="Tahoma"/>
      <family val="2"/>
    </font>
    <font>
      <b/>
      <sz val="12"/>
      <color rgb="FF0070C0"/>
      <name val="Calibri"/>
      <family val="2"/>
      <scheme val="minor"/>
    </font>
    <font>
      <sz val="13"/>
      <color theme="0" tint="-0.249977111117893"/>
      <name val="Times New Roman"/>
      <family val="1"/>
    </font>
    <font>
      <sz val="8"/>
      <color theme="0" tint="-0.249977111117893"/>
      <name val="Times New Roman"/>
      <family val="1"/>
    </font>
    <font>
      <strike/>
      <sz val="13"/>
      <color theme="0" tint="-0.249977111117893"/>
      <name val="Times New Roman"/>
      <family val="1"/>
    </font>
    <font>
      <sz val="13"/>
      <color theme="1"/>
      <name val="Times New Roman"/>
      <family val="1"/>
    </font>
    <font>
      <sz val="13"/>
      <color theme="0" tint="-0.249977111117893"/>
      <name val="Times New Roman"/>
      <family val="1"/>
    </font>
    <font>
      <b/>
      <sz val="13"/>
      <color theme="1"/>
      <name val="Times New Roman"/>
      <family val="1"/>
      <charset val="163"/>
    </font>
    <font>
      <b/>
      <i/>
      <sz val="13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0" tint="-0.249977111117893"/>
      <name val="Times New Roman"/>
      <family val="1"/>
    </font>
    <font>
      <b/>
      <sz val="11"/>
      <color theme="0" tint="-0.249977111117893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3E9F5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1"/>
      </bottom>
      <diagonal/>
    </border>
  </borders>
  <cellStyleXfs count="55">
    <xf numFmtId="0" fontId="0" fillId="0" borderId="0"/>
    <xf numFmtId="0" fontId="5" fillId="0" borderId="0"/>
    <xf numFmtId="0" fontId="15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3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left" vertical="center"/>
    </xf>
    <xf numFmtId="49" fontId="10" fillId="0" borderId="5" xfId="1" applyNumberFormat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3" fillId="6" borderId="0" xfId="0" applyFont="1" applyFill="1" applyAlignment="1">
      <alignment vertical="center"/>
    </xf>
    <xf numFmtId="0" fontId="13" fillId="6" borderId="0" xfId="0" applyFont="1" applyFill="1" applyAlignment="1">
      <alignment horizontal="left" vertical="center"/>
    </xf>
    <xf numFmtId="0" fontId="6" fillId="0" borderId="0" xfId="2" applyFont="1"/>
    <xf numFmtId="0" fontId="15" fillId="0" borderId="0" xfId="2"/>
    <xf numFmtId="0" fontId="16" fillId="0" borderId="0" xfId="2" applyFont="1"/>
    <xf numFmtId="0" fontId="15" fillId="0" borderId="0" xfId="2" applyAlignment="1">
      <alignment wrapText="1"/>
    </xf>
    <xf numFmtId="0" fontId="15" fillId="0" borderId="0" xfId="2" applyAlignment="1">
      <alignment horizontal="left" wrapText="1"/>
    </xf>
    <xf numFmtId="0" fontId="17" fillId="0" borderId="0" xfId="2" applyFont="1" applyAlignment="1">
      <alignment horizontal="center" vertical="center" wrapText="1"/>
    </xf>
    <xf numFmtId="0" fontId="18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8" fillId="0" borderId="0" xfId="2" applyFont="1" applyAlignment="1">
      <alignment horizontal="center" wrapText="1"/>
    </xf>
    <xf numFmtId="0" fontId="2" fillId="0" borderId="5" xfId="2" applyFont="1" applyBorder="1" applyAlignment="1">
      <alignment horizontal="center" vertical="center"/>
    </xf>
    <xf numFmtId="0" fontId="21" fillId="0" borderId="5" xfId="2" applyFont="1" applyBorder="1" applyAlignment="1">
      <alignment horizontal="center" vertical="center"/>
    </xf>
    <xf numFmtId="0" fontId="2" fillId="0" borderId="5" xfId="2" applyFont="1" applyBorder="1" applyAlignment="1">
      <alignment vertical="center" wrapText="1"/>
    </xf>
    <xf numFmtId="0" fontId="2" fillId="0" borderId="5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left" vertical="center" wrapText="1"/>
    </xf>
    <xf numFmtId="0" fontId="3" fillId="0" borderId="5" xfId="2" applyFont="1" applyBorder="1" applyAlignment="1">
      <alignment vertical="center" wrapText="1"/>
    </xf>
    <xf numFmtId="0" fontId="3" fillId="0" borderId="5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left" vertical="center" wrapText="1"/>
    </xf>
    <xf numFmtId="0" fontId="2" fillId="0" borderId="8" xfId="2" applyFont="1" applyBorder="1" applyAlignment="1">
      <alignment horizontal="center" vertical="center"/>
    </xf>
    <xf numFmtId="0" fontId="21" fillId="0" borderId="8" xfId="2" applyFont="1" applyBorder="1" applyAlignment="1">
      <alignment horizontal="center" vertical="center"/>
    </xf>
    <xf numFmtId="0" fontId="2" fillId="0" borderId="8" xfId="2" applyFont="1" applyBorder="1" applyAlignment="1">
      <alignment horizontal="left" vertical="center" wrapText="1"/>
    </xf>
    <xf numFmtId="0" fontId="17" fillId="0" borderId="0" xfId="2" applyFont="1" applyAlignment="1">
      <alignment vertical="center" wrapText="1"/>
    </xf>
    <xf numFmtId="0" fontId="17" fillId="0" borderId="0" xfId="2" applyFont="1" applyAlignment="1">
      <alignment horizontal="left" vertical="center"/>
    </xf>
    <xf numFmtId="0" fontId="2" fillId="0" borderId="10" xfId="2" applyFont="1" applyBorder="1" applyAlignment="1">
      <alignment horizontal="center" vertical="center"/>
    </xf>
    <xf numFmtId="0" fontId="21" fillId="0" borderId="10" xfId="2" applyFont="1" applyBorder="1" applyAlignment="1">
      <alignment horizontal="center" vertical="center"/>
    </xf>
    <xf numFmtId="0" fontId="3" fillId="0" borderId="10" xfId="2" applyFont="1" applyBorder="1" applyAlignment="1">
      <alignment vertical="center" wrapText="1"/>
    </xf>
    <xf numFmtId="0" fontId="3" fillId="0" borderId="10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left" vertical="center" wrapText="1"/>
    </xf>
    <xf numFmtId="0" fontId="22" fillId="3" borderId="5" xfId="2" applyFont="1" applyFill="1" applyBorder="1" applyAlignment="1">
      <alignment horizontal="center" vertical="center"/>
    </xf>
    <xf numFmtId="0" fontId="22" fillId="3" borderId="5" xfId="2" applyFont="1" applyFill="1" applyBorder="1" applyAlignment="1">
      <alignment vertical="center" wrapText="1"/>
    </xf>
    <xf numFmtId="0" fontId="22" fillId="3" borderId="5" xfId="2" applyFont="1" applyFill="1" applyBorder="1" applyAlignment="1">
      <alignment horizontal="center" vertical="center" wrapText="1"/>
    </xf>
    <xf numFmtId="0" fontId="22" fillId="3" borderId="5" xfId="2" applyFont="1" applyFill="1" applyBorder="1" applyAlignment="1">
      <alignment horizontal="left" vertical="center" wrapText="1"/>
    </xf>
    <xf numFmtId="0" fontId="23" fillId="3" borderId="5" xfId="2" applyFont="1" applyFill="1" applyBorder="1" applyAlignment="1">
      <alignment horizontal="left" vertical="center"/>
    </xf>
    <xf numFmtId="0" fontId="24" fillId="3" borderId="5" xfId="2" applyFont="1" applyFill="1" applyBorder="1" applyAlignment="1">
      <alignment horizontal="center" vertical="center"/>
    </xf>
    <xf numFmtId="0" fontId="2" fillId="0" borderId="10" xfId="2" applyFont="1" applyBorder="1" applyAlignment="1">
      <alignment horizontal="left" vertical="center" wrapText="1"/>
    </xf>
    <xf numFmtId="0" fontId="2" fillId="0" borderId="2" xfId="2" applyFont="1" applyBorder="1" applyAlignment="1">
      <alignment horizontal="center" vertical="center"/>
    </xf>
    <xf numFmtId="0" fontId="21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left" vertical="center" wrapText="1"/>
    </xf>
    <xf numFmtId="0" fontId="3" fillId="0" borderId="8" xfId="2" applyFont="1" applyBorder="1" applyAlignment="1">
      <alignment vertical="center" wrapText="1"/>
    </xf>
    <xf numFmtId="0" fontId="3" fillId="0" borderId="8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 wrapText="1"/>
    </xf>
    <xf numFmtId="0" fontId="3" fillId="0" borderId="8" xfId="2" applyFont="1" applyBorder="1" applyAlignment="1">
      <alignment horizontal="left" vertical="center" wrapText="1"/>
    </xf>
    <xf numFmtId="0" fontId="2" fillId="0" borderId="6" xfId="2" applyFont="1" applyBorder="1" applyAlignment="1">
      <alignment horizontal="center" vertical="center"/>
    </xf>
    <xf numFmtId="0" fontId="21" fillId="0" borderId="6" xfId="2" applyFont="1" applyBorder="1" applyAlignment="1">
      <alignment horizontal="center" vertical="center"/>
    </xf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left" vertical="center" wrapText="1"/>
    </xf>
    <xf numFmtId="0" fontId="3" fillId="0" borderId="6" xfId="2" applyFont="1" applyBorder="1" applyAlignment="1">
      <alignment vertical="center" wrapText="1"/>
    </xf>
    <xf numFmtId="0" fontId="3" fillId="0" borderId="6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left" vertical="center" wrapText="1"/>
    </xf>
    <xf numFmtId="0" fontId="1" fillId="5" borderId="10" xfId="2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8" fillId="0" borderId="0" xfId="2" applyFont="1"/>
    <xf numFmtId="0" fontId="27" fillId="0" borderId="8" xfId="2" applyFont="1" applyBorder="1" applyAlignment="1">
      <alignment horizontal="center" vertical="center"/>
    </xf>
    <xf numFmtId="0" fontId="29" fillId="0" borderId="8" xfId="2" applyFont="1" applyBorder="1" applyAlignment="1">
      <alignment horizontal="center" vertical="center"/>
    </xf>
    <xf numFmtId="0" fontId="29" fillId="0" borderId="8" xfId="2" applyFont="1" applyBorder="1" applyAlignment="1">
      <alignment vertical="center" wrapText="1"/>
    </xf>
    <xf numFmtId="0" fontId="29" fillId="0" borderId="8" xfId="2" applyFont="1" applyBorder="1" applyAlignment="1">
      <alignment horizontal="center" vertical="center" wrapText="1"/>
    </xf>
    <xf numFmtId="0" fontId="29" fillId="0" borderId="8" xfId="2" applyFont="1" applyBorder="1" applyAlignment="1">
      <alignment horizontal="left" vertical="center" wrapText="1"/>
    </xf>
    <xf numFmtId="0" fontId="15" fillId="0" borderId="5" xfId="2" applyBorder="1"/>
    <xf numFmtId="0" fontId="6" fillId="0" borderId="0" xfId="2" applyFont="1" applyAlignment="1">
      <alignment horizontal="left" wrapText="1"/>
    </xf>
    <xf numFmtId="0" fontId="3" fillId="3" borderId="5" xfId="2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left" vertical="center"/>
    </xf>
    <xf numFmtId="0" fontId="3" fillId="3" borderId="5" xfId="2" applyFont="1" applyFill="1" applyBorder="1" applyAlignment="1">
      <alignment vertical="center" wrapText="1"/>
    </xf>
    <xf numFmtId="0" fontId="3" fillId="3" borderId="5" xfId="2" applyFont="1" applyFill="1" applyBorder="1" applyAlignment="1">
      <alignment horizontal="center" vertical="center" wrapText="1"/>
    </xf>
    <xf numFmtId="0" fontId="3" fillId="3" borderId="5" xfId="2" applyFont="1" applyFill="1" applyBorder="1" applyAlignment="1">
      <alignment horizontal="left" vertical="center" wrapText="1"/>
    </xf>
    <xf numFmtId="0" fontId="2" fillId="0" borderId="10" xfId="2" applyFont="1" applyBorder="1" applyAlignment="1">
      <alignment horizontal="center" vertical="center" wrapText="1"/>
    </xf>
    <xf numFmtId="0" fontId="15" fillId="0" borderId="10" xfId="2" applyBorder="1"/>
    <xf numFmtId="0" fontId="15" fillId="0" borderId="6" xfId="2" applyBorder="1"/>
    <xf numFmtId="0" fontId="15" fillId="0" borderId="3" xfId="2" applyBorder="1"/>
    <xf numFmtId="0" fontId="15" fillId="0" borderId="7" xfId="2" applyBorder="1"/>
    <xf numFmtId="0" fontId="15" fillId="0" borderId="14" xfId="2" applyBorder="1"/>
    <xf numFmtId="0" fontId="21" fillId="0" borderId="10" xfId="2" applyFont="1" applyBorder="1" applyAlignment="1">
      <alignment horizontal="center" vertical="center" wrapText="1"/>
    </xf>
    <xf numFmtId="0" fontId="21" fillId="0" borderId="10" xfId="2" applyFont="1" applyBorder="1" applyAlignment="1">
      <alignment vertical="center" wrapText="1"/>
    </xf>
    <xf numFmtId="0" fontId="21" fillId="0" borderId="2" xfId="2" applyFont="1" applyBorder="1" applyAlignment="1">
      <alignment horizontal="center" vertical="center" wrapText="1"/>
    </xf>
    <xf numFmtId="0" fontId="21" fillId="0" borderId="2" xfId="2" applyFont="1" applyBorder="1" applyAlignment="1">
      <alignment vertical="center" wrapText="1"/>
    </xf>
    <xf numFmtId="0" fontId="15" fillId="0" borderId="0" xfId="2" applyAlignment="1">
      <alignment horizontal="center"/>
    </xf>
    <xf numFmtId="0" fontId="26" fillId="10" borderId="0" xfId="2" applyFont="1" applyFill="1" applyAlignment="1">
      <alignment horizontal="center"/>
    </xf>
    <xf numFmtId="0" fontId="15" fillId="0" borderId="5" xfId="2" applyBorder="1" applyAlignment="1">
      <alignment horizontal="center"/>
    </xf>
    <xf numFmtId="0" fontId="15" fillId="0" borderId="10" xfId="2" applyBorder="1" applyAlignment="1">
      <alignment horizontal="center"/>
    </xf>
    <xf numFmtId="0" fontId="15" fillId="0" borderId="2" xfId="2" applyBorder="1" applyAlignment="1">
      <alignment horizontal="center"/>
    </xf>
    <xf numFmtId="0" fontId="15" fillId="0" borderId="8" xfId="2" applyBorder="1" applyAlignment="1">
      <alignment horizontal="center"/>
    </xf>
    <xf numFmtId="0" fontId="15" fillId="0" borderId="6" xfId="2" applyBorder="1" applyAlignment="1">
      <alignment horizontal="center"/>
    </xf>
    <xf numFmtId="0" fontId="6" fillId="0" borderId="0" xfId="2" applyFont="1" applyAlignment="1">
      <alignment horizontal="center"/>
    </xf>
    <xf numFmtId="0" fontId="26" fillId="0" borderId="0" xfId="2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horizontal="left" vertical="center"/>
    </xf>
    <xf numFmtId="49" fontId="13" fillId="9" borderId="5" xfId="0" applyNumberFormat="1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horizontal="left" vertical="center" wrapText="1"/>
    </xf>
    <xf numFmtId="49" fontId="13" fillId="7" borderId="5" xfId="0" applyNumberFormat="1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left" vertical="center" wrapText="1"/>
    </xf>
    <xf numFmtId="49" fontId="13" fillId="11" borderId="5" xfId="0" applyNumberFormat="1" applyFont="1" applyFill="1" applyBorder="1" applyAlignment="1">
      <alignment horizontal="center" vertical="center"/>
    </xf>
    <xf numFmtId="0" fontId="25" fillId="11" borderId="5" xfId="0" applyFont="1" applyFill="1" applyBorder="1" applyAlignment="1">
      <alignment horizontal="left" vertical="center" wrapText="1"/>
    </xf>
    <xf numFmtId="49" fontId="13" fillId="4" borderId="5" xfId="0" applyNumberFormat="1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left" vertical="center" wrapText="1"/>
    </xf>
    <xf numFmtId="0" fontId="34" fillId="2" borderId="5" xfId="0" applyFont="1" applyFill="1" applyBorder="1" applyAlignment="1">
      <alignment vertical="center"/>
    </xf>
    <xf numFmtId="0" fontId="35" fillId="2" borderId="5" xfId="0" applyFont="1" applyFill="1" applyBorder="1" applyAlignment="1">
      <alignment vertical="center"/>
    </xf>
    <xf numFmtId="0" fontId="35" fillId="8" borderId="5" xfId="0" applyFont="1" applyFill="1" applyBorder="1" applyAlignment="1">
      <alignment vertical="center"/>
    </xf>
    <xf numFmtId="0" fontId="35" fillId="9" borderId="5" xfId="0" applyFont="1" applyFill="1" applyBorder="1" applyAlignment="1">
      <alignment horizontal="left" vertical="center"/>
    </xf>
    <xf numFmtId="0" fontId="35" fillId="9" borderId="5" xfId="0" applyFont="1" applyFill="1" applyBorder="1" applyAlignment="1">
      <alignment vertical="center" wrapText="1"/>
    </xf>
    <xf numFmtId="0" fontId="35" fillId="7" borderId="5" xfId="0" applyFont="1" applyFill="1" applyBorder="1" applyAlignment="1">
      <alignment vertical="center" wrapText="1"/>
    </xf>
    <xf numFmtId="0" fontId="35" fillId="11" borderId="5" xfId="0" applyFont="1" applyFill="1" applyBorder="1" applyAlignment="1">
      <alignment vertical="center" wrapText="1"/>
    </xf>
    <xf numFmtId="0" fontId="35" fillId="4" borderId="5" xfId="0" applyFont="1" applyFill="1" applyBorder="1" applyAlignment="1">
      <alignment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center" vertical="center"/>
    </xf>
    <xf numFmtId="0" fontId="13" fillId="9" borderId="19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/>
    </xf>
    <xf numFmtId="0" fontId="13" fillId="11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3" fillId="12" borderId="18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vertical="center" wrapText="1"/>
    </xf>
    <xf numFmtId="0" fontId="3" fillId="12" borderId="5" xfId="0" applyFont="1" applyFill="1" applyBorder="1" applyAlignment="1">
      <alignment horizontal="left" vertical="center" wrapText="1"/>
    </xf>
    <xf numFmtId="0" fontId="35" fillId="12" borderId="5" xfId="0" applyFont="1" applyFill="1" applyBorder="1" applyAlignment="1">
      <alignment vertical="center" wrapText="1"/>
    </xf>
    <xf numFmtId="49" fontId="13" fillId="12" borderId="5" xfId="0" applyNumberFormat="1" applyFont="1" applyFill="1" applyBorder="1" applyAlignment="1">
      <alignment horizontal="center" vertical="center"/>
    </xf>
    <xf numFmtId="0" fontId="25" fillId="12" borderId="5" xfId="0" applyFont="1" applyFill="1" applyBorder="1" applyAlignment="1">
      <alignment horizontal="left" vertical="center" wrapText="1"/>
    </xf>
    <xf numFmtId="0" fontId="13" fillId="12" borderId="19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left" vertical="center"/>
    </xf>
    <xf numFmtId="0" fontId="35" fillId="12" borderId="5" xfId="0" applyFont="1" applyFill="1" applyBorder="1" applyAlignment="1">
      <alignment horizontal="left" vertical="center"/>
    </xf>
    <xf numFmtId="0" fontId="3" fillId="12" borderId="5" xfId="0" quotePrefix="1" applyFont="1" applyFill="1" applyBorder="1" applyAlignment="1">
      <alignment vertical="center" wrapText="1"/>
    </xf>
    <xf numFmtId="9" fontId="13" fillId="12" borderId="5" xfId="0" applyNumberFormat="1" applyFont="1" applyFill="1" applyBorder="1" applyAlignment="1">
      <alignment horizontal="left" vertical="center" wrapText="1"/>
    </xf>
    <xf numFmtId="0" fontId="3" fillId="12" borderId="20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5" xfId="0" applyFill="1" applyBorder="1" applyAlignment="1">
      <alignment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13" borderId="5" xfId="0" applyFill="1" applyBorder="1" applyAlignment="1">
      <alignment vertical="center"/>
    </xf>
    <xf numFmtId="0" fontId="0" fillId="13" borderId="5" xfId="0" applyFill="1" applyBorder="1" applyAlignment="1">
      <alignment horizontal="left" vertical="center"/>
    </xf>
    <xf numFmtId="49" fontId="13" fillId="12" borderId="5" xfId="0" applyNumberFormat="1" applyFont="1" applyFill="1" applyBorder="1" applyAlignment="1">
      <alignment horizontal="left" vertical="center" wrapText="1"/>
    </xf>
    <xf numFmtId="0" fontId="0" fillId="13" borderId="5" xfId="0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15" fillId="0" borderId="21" xfId="2" applyBorder="1"/>
    <xf numFmtId="0" fontId="30" fillId="0" borderId="3" xfId="2" applyFont="1" applyBorder="1" applyAlignment="1">
      <alignment wrapText="1"/>
    </xf>
    <xf numFmtId="0" fontId="28" fillId="0" borderId="8" xfId="2" applyFont="1" applyBorder="1" applyAlignment="1">
      <alignment horizontal="center"/>
    </xf>
    <xf numFmtId="0" fontId="28" fillId="0" borderId="14" xfId="2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/>
    </xf>
    <xf numFmtId="0" fontId="35" fillId="9" borderId="5" xfId="0" applyFont="1" applyFill="1" applyBorder="1" applyAlignment="1">
      <alignment horizontal="left" vertical="center" wrapText="1"/>
    </xf>
    <xf numFmtId="0" fontId="21" fillId="0" borderId="5" xfId="2" applyFont="1" applyBorder="1" applyAlignment="1">
      <alignment vertical="center" wrapText="1"/>
    </xf>
    <xf numFmtId="0" fontId="30" fillId="0" borderId="7" xfId="2" applyFont="1" applyBorder="1" applyAlignment="1">
      <alignment wrapText="1"/>
    </xf>
    <xf numFmtId="0" fontId="27" fillId="0" borderId="16" xfId="2" applyFont="1" applyBorder="1" applyAlignment="1">
      <alignment horizontal="center" vertical="center"/>
    </xf>
    <xf numFmtId="0" fontId="36" fillId="0" borderId="2" xfId="2" applyFont="1" applyBorder="1" applyAlignment="1">
      <alignment horizontal="center" vertical="center"/>
    </xf>
    <xf numFmtId="0" fontId="36" fillId="0" borderId="2" xfId="2" applyFont="1" applyBorder="1" applyAlignment="1">
      <alignment vertical="center" wrapText="1"/>
    </xf>
    <xf numFmtId="0" fontId="36" fillId="0" borderId="2" xfId="2" applyFont="1" applyBorder="1" applyAlignment="1">
      <alignment horizontal="center" vertical="center" wrapText="1"/>
    </xf>
    <xf numFmtId="0" fontId="36" fillId="0" borderId="2" xfId="2" applyFont="1" applyBorder="1" applyAlignment="1">
      <alignment horizontal="left" vertical="center" wrapText="1"/>
    </xf>
    <xf numFmtId="0" fontId="37" fillId="0" borderId="5" xfId="2" applyFont="1" applyBorder="1" applyAlignment="1">
      <alignment horizontal="center"/>
    </xf>
    <xf numFmtId="0" fontId="37" fillId="0" borderId="5" xfId="2" applyFont="1" applyBorder="1"/>
    <xf numFmtId="0" fontId="36" fillId="0" borderId="5" xfId="2" applyFont="1" applyBorder="1" applyAlignment="1">
      <alignment horizontal="center" vertical="center"/>
    </xf>
    <xf numFmtId="0" fontId="36" fillId="0" borderId="5" xfId="2" applyFont="1" applyBorder="1" applyAlignment="1">
      <alignment vertical="center" wrapText="1"/>
    </xf>
    <xf numFmtId="0" fontId="36" fillId="0" borderId="5" xfId="2" applyFont="1" applyBorder="1" applyAlignment="1">
      <alignment horizontal="center" vertical="center" wrapText="1"/>
    </xf>
    <xf numFmtId="0" fontId="36" fillId="0" borderId="5" xfId="2" applyFont="1" applyBorder="1" applyAlignment="1">
      <alignment horizontal="left" vertical="center" wrapText="1"/>
    </xf>
    <xf numFmtId="0" fontId="36" fillId="0" borderId="8" xfId="2" applyFont="1" applyBorder="1" applyAlignment="1">
      <alignment horizontal="center" vertical="center"/>
    </xf>
    <xf numFmtId="0" fontId="36" fillId="0" borderId="8" xfId="2" applyFont="1" applyBorder="1" applyAlignment="1">
      <alignment vertical="center" wrapText="1"/>
    </xf>
    <xf numFmtId="0" fontId="36" fillId="0" borderId="8" xfId="2" applyFont="1" applyBorder="1" applyAlignment="1">
      <alignment horizontal="center" vertical="center" wrapText="1"/>
    </xf>
    <xf numFmtId="0" fontId="36" fillId="0" borderId="8" xfId="2" applyFont="1" applyBorder="1" applyAlignment="1">
      <alignment horizontal="left" vertical="center" wrapText="1"/>
    </xf>
    <xf numFmtId="0" fontId="36" fillId="0" borderId="6" xfId="2" applyFont="1" applyBorder="1" applyAlignment="1">
      <alignment horizontal="center" vertical="center"/>
    </xf>
    <xf numFmtId="0" fontId="36" fillId="0" borderId="6" xfId="2" applyFont="1" applyBorder="1" applyAlignment="1">
      <alignment vertical="center" wrapText="1"/>
    </xf>
    <xf numFmtId="0" fontId="36" fillId="0" borderId="6" xfId="2" applyFont="1" applyBorder="1" applyAlignment="1">
      <alignment horizontal="center" vertical="center" wrapText="1"/>
    </xf>
    <xf numFmtId="0" fontId="36" fillId="0" borderId="6" xfId="2" applyFont="1" applyBorder="1" applyAlignment="1">
      <alignment horizontal="left" vertical="center" wrapText="1"/>
    </xf>
    <xf numFmtId="0" fontId="36" fillId="0" borderId="10" xfId="2" applyFont="1" applyBorder="1" applyAlignment="1">
      <alignment horizontal="center" vertical="center"/>
    </xf>
    <xf numFmtId="0" fontId="36" fillId="0" borderId="10" xfId="2" applyFont="1" applyBorder="1" applyAlignment="1">
      <alignment vertical="center" wrapText="1"/>
    </xf>
    <xf numFmtId="0" fontId="36" fillId="0" borderId="10" xfId="2" applyFont="1" applyBorder="1" applyAlignment="1">
      <alignment horizontal="center" vertical="center" wrapText="1"/>
    </xf>
    <xf numFmtId="0" fontId="36" fillId="0" borderId="10" xfId="2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8" borderId="5" xfId="0" applyFont="1" applyFill="1" applyBorder="1" applyAlignment="1">
      <alignment horizontal="left" vertical="center" wrapText="1"/>
    </xf>
    <xf numFmtId="0" fontId="38" fillId="14" borderId="23" xfId="0" applyFont="1" applyFill="1" applyBorder="1" applyAlignment="1">
      <alignment vertical="center"/>
    </xf>
    <xf numFmtId="0" fontId="38" fillId="14" borderId="23" xfId="0" applyFont="1" applyFill="1" applyBorder="1" applyAlignment="1">
      <alignment vertical="top" wrapText="1"/>
    </xf>
    <xf numFmtId="0" fontId="39" fillId="14" borderId="23" xfId="0" applyFont="1" applyFill="1" applyBorder="1" applyAlignment="1">
      <alignment vertical="top" wrapText="1"/>
    </xf>
    <xf numFmtId="0" fontId="38" fillId="14" borderId="23" xfId="0" applyFont="1" applyFill="1" applyBorder="1" applyAlignment="1">
      <alignment vertical="top"/>
    </xf>
    <xf numFmtId="0" fontId="38" fillId="14" borderId="23" xfId="0" applyFont="1" applyFill="1" applyBorder="1" applyAlignment="1">
      <alignment horizontal="center" vertical="center" wrapText="1"/>
    </xf>
    <xf numFmtId="0" fontId="38" fillId="15" borderId="23" xfId="0" applyFont="1" applyFill="1" applyBorder="1" applyAlignment="1">
      <alignment vertical="center"/>
    </xf>
    <xf numFmtId="0" fontId="38" fillId="15" borderId="23" xfId="0" applyFont="1" applyFill="1" applyBorder="1" applyAlignment="1">
      <alignment vertical="top" wrapText="1"/>
    </xf>
    <xf numFmtId="0" fontId="40" fillId="15" borderId="23" xfId="0" applyFont="1" applyFill="1" applyBorder="1" applyAlignment="1">
      <alignment horizontal="center" vertical="center" wrapText="1"/>
    </xf>
    <xf numFmtId="0" fontId="38" fillId="15" borderId="23" xfId="0" applyFont="1" applyFill="1" applyBorder="1" applyAlignment="1">
      <alignment horizontal="center" vertical="center" wrapText="1"/>
    </xf>
    <xf numFmtId="0" fontId="39" fillId="5" borderId="23" xfId="0" applyFont="1" applyFill="1" applyBorder="1" applyAlignment="1">
      <alignment vertical="center"/>
    </xf>
    <xf numFmtId="0" fontId="39" fillId="5" borderId="23" xfId="0" applyFont="1" applyFill="1" applyBorder="1" applyAlignment="1">
      <alignment vertical="top" wrapText="1"/>
    </xf>
    <xf numFmtId="0" fontId="39" fillId="5" borderId="23" xfId="0" applyFont="1" applyFill="1" applyBorder="1" applyAlignment="1">
      <alignment horizontal="center" vertical="center" wrapText="1"/>
    </xf>
    <xf numFmtId="0" fontId="6" fillId="16" borderId="12" xfId="0" applyFont="1" applyFill="1" applyBorder="1" applyAlignment="1">
      <alignment horizontal="center" vertical="center" wrapText="1"/>
    </xf>
    <xf numFmtId="0" fontId="6" fillId="16" borderId="17" xfId="0" applyFont="1" applyFill="1" applyBorder="1" applyAlignment="1">
      <alignment horizontal="center" vertical="center" wrapText="1"/>
    </xf>
    <xf numFmtId="0" fontId="6" fillId="16" borderId="22" xfId="0" applyFont="1" applyFill="1" applyBorder="1" applyAlignment="1">
      <alignment horizontal="center" vertical="center" wrapText="1"/>
    </xf>
    <xf numFmtId="0" fontId="6" fillId="16" borderId="17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 wrapText="1"/>
    </xf>
    <xf numFmtId="0" fontId="6" fillId="16" borderId="3" xfId="0" applyFont="1" applyFill="1" applyBorder="1" applyAlignment="1">
      <alignment horizontal="center" vertical="center" wrapText="1"/>
    </xf>
    <xf numFmtId="0" fontId="41" fillId="4" borderId="5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vertical="center"/>
    </xf>
    <xf numFmtId="0" fontId="2" fillId="13" borderId="5" xfId="0" applyFont="1" applyFill="1" applyBorder="1" applyAlignment="1">
      <alignment horizontal="left" vertical="center" wrapText="1"/>
    </xf>
    <xf numFmtId="0" fontId="15" fillId="3" borderId="5" xfId="2" applyFill="1" applyBorder="1" applyAlignment="1">
      <alignment horizontal="center"/>
    </xf>
    <xf numFmtId="0" fontId="15" fillId="3" borderId="7" xfId="2" applyFill="1" applyBorder="1"/>
    <xf numFmtId="0" fontId="15" fillId="3" borderId="5" xfId="2" applyFill="1" applyBorder="1"/>
    <xf numFmtId="0" fontId="21" fillId="0" borderId="5" xfId="2" applyFont="1" applyBorder="1" applyAlignment="1">
      <alignment horizontal="center" vertical="center" wrapText="1"/>
    </xf>
    <xf numFmtId="0" fontId="21" fillId="0" borderId="8" xfId="2" applyFont="1" applyBorder="1" applyAlignment="1">
      <alignment horizontal="center" vertical="center" wrapText="1"/>
    </xf>
    <xf numFmtId="0" fontId="21" fillId="0" borderId="8" xfId="2" applyFont="1" applyBorder="1" applyAlignment="1">
      <alignment vertical="center" wrapText="1"/>
    </xf>
    <xf numFmtId="0" fontId="2" fillId="0" borderId="8" xfId="2" applyFont="1" applyBorder="1" applyAlignment="1">
      <alignment horizontal="center" vertical="center" wrapText="1"/>
    </xf>
    <xf numFmtId="0" fontId="43" fillId="0" borderId="0" xfId="2" applyFont="1" applyAlignment="1">
      <alignment horizontal="center"/>
    </xf>
    <xf numFmtId="0" fontId="42" fillId="0" borderId="0" xfId="2" applyFont="1" applyAlignment="1">
      <alignment horizontal="center"/>
    </xf>
    <xf numFmtId="0" fontId="44" fillId="0" borderId="0" xfId="2" applyFont="1" applyAlignment="1">
      <alignment horizontal="center"/>
    </xf>
    <xf numFmtId="0" fontId="45" fillId="0" borderId="0" xfId="2" applyFont="1"/>
    <xf numFmtId="0" fontId="46" fillId="0" borderId="0" xfId="2" applyFont="1" applyAlignment="1">
      <alignment horizontal="center"/>
    </xf>
    <xf numFmtId="49" fontId="0" fillId="13" borderId="5" xfId="0" applyNumberFormat="1" applyFill="1" applyBorder="1" applyAlignment="1">
      <alignment vertical="center" wrapText="1"/>
    </xf>
    <xf numFmtId="49" fontId="0" fillId="0" borderId="8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4" fillId="2" borderId="5" xfId="0" applyFont="1" applyFill="1" applyBorder="1" applyAlignment="1">
      <alignment vertical="center" wrapText="1"/>
    </xf>
    <xf numFmtId="0" fontId="35" fillId="2" borderId="5" xfId="0" applyFont="1" applyFill="1" applyBorder="1" applyAlignment="1">
      <alignment vertical="center" wrapText="1"/>
    </xf>
    <xf numFmtId="0" fontId="35" fillId="8" borderId="5" xfId="0" applyFont="1" applyFill="1" applyBorder="1" applyAlignment="1">
      <alignment vertical="center" wrapText="1"/>
    </xf>
    <xf numFmtId="0" fontId="35" fillId="12" borderId="5" xfId="0" applyFont="1" applyFill="1" applyBorder="1" applyAlignment="1">
      <alignment horizontal="left" vertical="center" wrapText="1"/>
    </xf>
    <xf numFmtId="49" fontId="2" fillId="13" borderId="5" xfId="0" applyNumberFormat="1" applyFont="1" applyFill="1" applyBorder="1" applyAlignment="1">
      <alignment vertical="center" wrapText="1"/>
    </xf>
    <xf numFmtId="0" fontId="13" fillId="12" borderId="19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/>
    </xf>
    <xf numFmtId="0" fontId="49" fillId="13" borderId="5" xfId="0" applyFont="1" applyFill="1" applyBorder="1" applyAlignment="1">
      <alignment horizontal="center" vertical="center"/>
    </xf>
    <xf numFmtId="0" fontId="49" fillId="13" borderId="5" xfId="0" applyFont="1" applyFill="1" applyBorder="1" applyAlignment="1">
      <alignment vertical="center" wrapText="1"/>
    </xf>
    <xf numFmtId="0" fontId="49" fillId="13" borderId="5" xfId="0" applyFont="1" applyFill="1" applyBorder="1" applyAlignment="1">
      <alignment horizontal="center" vertical="center" wrapText="1"/>
    </xf>
    <xf numFmtId="0" fontId="49" fillId="13" borderId="5" xfId="0" applyFont="1" applyFill="1" applyBorder="1" applyAlignment="1">
      <alignment vertical="center"/>
    </xf>
    <xf numFmtId="49" fontId="49" fillId="13" borderId="5" xfId="0" applyNumberFormat="1" applyFont="1" applyFill="1" applyBorder="1" applyAlignment="1">
      <alignment vertical="center" wrapText="1"/>
    </xf>
    <xf numFmtId="0" fontId="45" fillId="0" borderId="0" xfId="2" applyFont="1" applyAlignment="1">
      <alignment horizontal="center"/>
    </xf>
    <xf numFmtId="0" fontId="28" fillId="0" borderId="0" xfId="2" applyFont="1" applyAlignment="1">
      <alignment horizontal="center"/>
    </xf>
    <xf numFmtId="0" fontId="50" fillId="0" borderId="6" xfId="2" applyFont="1" applyBorder="1" applyAlignment="1">
      <alignment horizontal="center" vertical="center"/>
    </xf>
    <xf numFmtId="0" fontId="50" fillId="0" borderId="6" xfId="2" applyFont="1" applyBorder="1" applyAlignment="1">
      <alignment vertical="center" wrapText="1"/>
    </xf>
    <xf numFmtId="0" fontId="50" fillId="0" borderId="6" xfId="2" applyFont="1" applyBorder="1" applyAlignment="1">
      <alignment horizontal="center" vertical="center" wrapText="1"/>
    </xf>
    <xf numFmtId="0" fontId="50" fillId="0" borderId="6" xfId="2" applyFont="1" applyBorder="1" applyAlignment="1">
      <alignment horizontal="left" vertical="center" wrapText="1"/>
    </xf>
    <xf numFmtId="0" fontId="42" fillId="0" borderId="5" xfId="2" applyFont="1" applyBorder="1" applyAlignment="1">
      <alignment horizontal="center"/>
    </xf>
    <xf numFmtId="0" fontId="42" fillId="0" borderId="5" xfId="2" applyFont="1" applyBorder="1"/>
    <xf numFmtId="0" fontId="50" fillId="0" borderId="5" xfId="2" applyFont="1" applyBorder="1" applyAlignment="1">
      <alignment horizontal="center" vertical="center"/>
    </xf>
    <xf numFmtId="0" fontId="50" fillId="0" borderId="5" xfId="2" applyFont="1" applyBorder="1" applyAlignment="1">
      <alignment vertical="center" wrapText="1"/>
    </xf>
    <xf numFmtId="0" fontId="50" fillId="0" borderId="5" xfId="2" applyFont="1" applyBorder="1" applyAlignment="1">
      <alignment horizontal="center" vertical="center" wrapText="1"/>
    </xf>
    <xf numFmtId="0" fontId="50" fillId="0" borderId="5" xfId="2" applyFont="1" applyBorder="1" applyAlignment="1">
      <alignment horizontal="left" vertical="center" wrapText="1"/>
    </xf>
    <xf numFmtId="0" fontId="50" fillId="0" borderId="10" xfId="2" applyFont="1" applyBorder="1" applyAlignment="1">
      <alignment horizontal="center" vertical="center"/>
    </xf>
    <xf numFmtId="0" fontId="50" fillId="0" borderId="10" xfId="2" applyFont="1" applyBorder="1" applyAlignment="1">
      <alignment vertical="center" wrapText="1"/>
    </xf>
    <xf numFmtId="0" fontId="50" fillId="0" borderId="10" xfId="2" applyFont="1" applyBorder="1" applyAlignment="1">
      <alignment horizontal="center" vertical="center" wrapText="1"/>
    </xf>
    <xf numFmtId="0" fontId="50" fillId="0" borderId="10" xfId="2" applyFont="1" applyBorder="1" applyAlignment="1">
      <alignment horizontal="left" vertical="center" wrapText="1"/>
    </xf>
    <xf numFmtId="0" fontId="50" fillId="0" borderId="2" xfId="2" applyFont="1" applyBorder="1" applyAlignment="1">
      <alignment horizontal="center" vertical="center"/>
    </xf>
    <xf numFmtId="0" fontId="50" fillId="0" borderId="2" xfId="2" applyFont="1" applyBorder="1" applyAlignment="1">
      <alignment vertical="center" wrapText="1"/>
    </xf>
    <xf numFmtId="0" fontId="50" fillId="0" borderId="2" xfId="2" applyFont="1" applyBorder="1" applyAlignment="1">
      <alignment horizontal="center" vertical="center" wrapText="1"/>
    </xf>
    <xf numFmtId="0" fontId="50" fillId="0" borderId="2" xfId="2" applyFont="1" applyBorder="1" applyAlignment="1">
      <alignment horizontal="left" vertical="center" wrapText="1"/>
    </xf>
    <xf numFmtId="0" fontId="50" fillId="3" borderId="5" xfId="2" applyFont="1" applyFill="1" applyBorder="1" applyAlignment="1">
      <alignment horizontal="center" vertical="center"/>
    </xf>
    <xf numFmtId="0" fontId="51" fillId="3" borderId="5" xfId="2" applyFont="1" applyFill="1" applyBorder="1" applyAlignment="1">
      <alignment horizontal="left" vertical="center"/>
    </xf>
    <xf numFmtId="0" fontId="50" fillId="3" borderId="5" xfId="2" applyFont="1" applyFill="1" applyBorder="1" applyAlignment="1">
      <alignment vertical="center" wrapText="1"/>
    </xf>
    <xf numFmtId="0" fontId="50" fillId="3" borderId="5" xfId="2" applyFont="1" applyFill="1" applyBorder="1" applyAlignment="1">
      <alignment horizontal="center" vertical="center" wrapText="1"/>
    </xf>
    <xf numFmtId="0" fontId="50" fillId="3" borderId="5" xfId="2" applyFont="1" applyFill="1" applyBorder="1" applyAlignment="1">
      <alignment horizontal="left" vertical="center" wrapText="1"/>
    </xf>
    <xf numFmtId="0" fontId="42" fillId="3" borderId="5" xfId="2" applyFont="1" applyFill="1" applyBorder="1" applyAlignment="1">
      <alignment horizontal="center"/>
    </xf>
    <xf numFmtId="0" fontId="42" fillId="3" borderId="5" xfId="2" applyFont="1" applyFill="1" applyBorder="1"/>
    <xf numFmtId="0" fontId="42" fillId="0" borderId="10" xfId="2" applyFont="1" applyBorder="1" applyAlignment="1">
      <alignment horizontal="center"/>
    </xf>
    <xf numFmtId="0" fontId="42" fillId="0" borderId="10" xfId="2" applyFont="1" applyBorder="1"/>
    <xf numFmtId="0" fontId="3" fillId="12" borderId="0" xfId="0" applyFont="1" applyFill="1" applyAlignment="1">
      <alignment vertical="center" wrapText="1"/>
    </xf>
    <xf numFmtId="0" fontId="3" fillId="12" borderId="0" xfId="0" applyFont="1" applyFill="1" applyAlignment="1">
      <alignment horizontal="left" vertical="center" wrapText="1"/>
    </xf>
    <xf numFmtId="0" fontId="35" fillId="12" borderId="0" xfId="0" applyFont="1" applyFill="1" applyAlignment="1">
      <alignment vertical="center" wrapText="1"/>
    </xf>
    <xf numFmtId="49" fontId="13" fillId="12" borderId="0" xfId="0" applyNumberFormat="1" applyFont="1" applyFill="1" applyAlignment="1">
      <alignment horizontal="center" vertical="center"/>
    </xf>
    <xf numFmtId="0" fontId="25" fillId="12" borderId="0" xfId="0" applyFont="1" applyFill="1" applyAlignment="1">
      <alignment horizontal="left" vertical="center" wrapText="1"/>
    </xf>
    <xf numFmtId="0" fontId="13" fillId="12" borderId="0" xfId="0" applyFont="1" applyFill="1" applyAlignment="1">
      <alignment horizontal="center" vertical="center"/>
    </xf>
    <xf numFmtId="0" fontId="3" fillId="12" borderId="25" xfId="0" applyFont="1" applyFill="1" applyBorder="1" applyAlignment="1">
      <alignment horizontal="center" vertical="center"/>
    </xf>
    <xf numFmtId="0" fontId="3" fillId="12" borderId="25" xfId="0" applyFont="1" applyFill="1" applyBorder="1" applyAlignment="1">
      <alignment vertical="center" wrapText="1"/>
    </xf>
    <xf numFmtId="0" fontId="1" fillId="5" borderId="1" xfId="2" applyFont="1" applyFill="1" applyBorder="1" applyAlignment="1">
      <alignment horizontal="center" vertical="center"/>
    </xf>
    <xf numFmtId="0" fontId="1" fillId="5" borderId="9" xfId="2" applyFont="1" applyFill="1" applyBorder="1" applyAlignment="1">
      <alignment horizontal="center" vertical="center"/>
    </xf>
    <xf numFmtId="0" fontId="1" fillId="5" borderId="2" xfId="2" applyFont="1" applyFill="1" applyBorder="1" applyAlignment="1">
      <alignment horizontal="center" vertical="center" wrapText="1"/>
    </xf>
    <xf numFmtId="0" fontId="1" fillId="5" borderId="10" xfId="2" applyFont="1" applyFill="1" applyBorder="1" applyAlignment="1">
      <alignment horizontal="center" vertical="center" wrapText="1"/>
    </xf>
    <xf numFmtId="0" fontId="20" fillId="5" borderId="2" xfId="2" applyFont="1" applyFill="1" applyBorder="1" applyAlignment="1">
      <alignment horizontal="center" vertical="center" wrapText="1"/>
    </xf>
    <xf numFmtId="0" fontId="20" fillId="5" borderId="10" xfId="2" applyFont="1" applyFill="1" applyBorder="1" applyAlignment="1">
      <alignment horizontal="center" vertical="center" wrapText="1"/>
    </xf>
    <xf numFmtId="0" fontId="1" fillId="5" borderId="3" xfId="2" applyFont="1" applyFill="1" applyBorder="1" applyAlignment="1">
      <alignment horizontal="center" vertical="center" wrapText="1"/>
    </xf>
    <xf numFmtId="0" fontId="1" fillId="5" borderId="7" xfId="2" applyFont="1" applyFill="1" applyBorder="1" applyAlignment="1">
      <alignment horizontal="center" vertical="center" wrapText="1"/>
    </xf>
    <xf numFmtId="0" fontId="1" fillId="5" borderId="2" xfId="2" applyFont="1" applyFill="1" applyBorder="1" applyAlignment="1">
      <alignment horizontal="left" vertical="center" wrapText="1"/>
    </xf>
    <xf numFmtId="0" fontId="1" fillId="5" borderId="10" xfId="2" applyFont="1" applyFill="1" applyBorder="1" applyAlignment="1">
      <alignment horizontal="left" vertical="center" wrapText="1"/>
    </xf>
    <xf numFmtId="0" fontId="1" fillId="5" borderId="17" xfId="2" applyFont="1" applyFill="1" applyBorder="1" applyAlignment="1">
      <alignment horizontal="center" vertical="center" wrapText="1"/>
    </xf>
    <xf numFmtId="0" fontId="1" fillId="5" borderId="15" xfId="2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 wrapText="1"/>
    </xf>
    <xf numFmtId="0" fontId="50" fillId="0" borderId="12" xfId="2" applyFont="1" applyBorder="1" applyAlignment="1">
      <alignment horizontal="center" vertical="center" wrapText="1"/>
    </xf>
    <xf numFmtId="0" fontId="50" fillId="0" borderId="11" xfId="2" applyFont="1" applyBorder="1" applyAlignment="1">
      <alignment horizontal="center" vertical="center"/>
    </xf>
    <xf numFmtId="0" fontId="50" fillId="0" borderId="11" xfId="2" applyFont="1" applyBorder="1" applyAlignment="1">
      <alignment horizontal="center" vertical="center" wrapText="1"/>
    </xf>
    <xf numFmtId="0" fontId="15" fillId="0" borderId="0" xfId="2" applyAlignment="1">
      <alignment horizontal="center" vertical="center" wrapText="1"/>
    </xf>
    <xf numFmtId="0" fontId="47" fillId="0" borderId="0" xfId="2" applyFont="1" applyAlignment="1">
      <alignment horizontal="center" wrapText="1"/>
    </xf>
    <xf numFmtId="0" fontId="2" fillId="0" borderId="13" xfId="2" applyFont="1" applyBorder="1" applyAlignment="1">
      <alignment horizontal="center" vertical="center" wrapText="1"/>
    </xf>
    <xf numFmtId="0" fontId="2" fillId="0" borderId="24" xfId="2" applyFont="1" applyBorder="1" applyAlignment="1">
      <alignment horizontal="center" vertical="center" wrapText="1"/>
    </xf>
    <xf numFmtId="0" fontId="48" fillId="0" borderId="0" xfId="2" applyFont="1" applyAlignment="1">
      <alignment horizontal="center" wrapText="1"/>
    </xf>
    <xf numFmtId="0" fontId="7" fillId="0" borderId="0" xfId="1" applyFont="1" applyAlignment="1">
      <alignment horizontal="left" vertical="center" wrapText="1"/>
    </xf>
    <xf numFmtId="0" fontId="9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/>
    </xf>
  </cellXfs>
  <cellStyles count="55">
    <cellStyle name="Followed Hyperlink" xfId="4" builtinId="9" hidden="1"/>
    <cellStyle name="Followed Hyperlink" xfId="8" builtinId="9" hidden="1"/>
    <cellStyle name="Followed Hyperlink" xfId="18" builtinId="9" hidden="1"/>
    <cellStyle name="Followed Hyperlink" xfId="52" builtinId="9" hidden="1"/>
    <cellStyle name="Followed Hyperlink" xfId="36" builtinId="9" hidden="1"/>
    <cellStyle name="Followed Hyperlink" xfId="38" builtinId="9" hidden="1"/>
    <cellStyle name="Followed Hyperlink" xfId="46" builtinId="9" hidden="1"/>
    <cellStyle name="Followed Hyperlink" xfId="50" builtinId="9" hidden="1"/>
    <cellStyle name="Followed Hyperlink" xfId="42" builtinId="9" hidden="1"/>
    <cellStyle name="Followed Hyperlink" xfId="34" builtinId="9" hidden="1"/>
    <cellStyle name="Followed Hyperlink" xfId="28" builtinId="9" hidden="1"/>
    <cellStyle name="Followed Hyperlink" xfId="26" builtinId="9" hidden="1"/>
    <cellStyle name="Followed Hyperlink" xfId="30" builtinId="9" hidden="1"/>
    <cellStyle name="Followed Hyperlink" xfId="44" builtinId="9" hidden="1"/>
    <cellStyle name="Followed Hyperlink" xfId="32" builtinId="9" hidden="1"/>
    <cellStyle name="Followed Hyperlink" xfId="6" builtinId="9" hidden="1"/>
    <cellStyle name="Followed Hyperlink" xfId="12" builtinId="9" hidden="1"/>
    <cellStyle name="Followed Hyperlink" xfId="14" builtinId="9" hidden="1"/>
    <cellStyle name="Followed Hyperlink" xfId="22" builtinId="9" hidden="1"/>
    <cellStyle name="Followed Hyperlink" xfId="16" builtinId="9" hidden="1"/>
    <cellStyle name="Followed Hyperlink" xfId="10" builtinId="9" hidden="1"/>
    <cellStyle name="Followed Hyperlink" xfId="20" builtinId="9" hidden="1"/>
    <cellStyle name="Followed Hyperlink" xfId="40" builtinId="9" hidden="1"/>
    <cellStyle name="Followed Hyperlink" xfId="24" builtinId="9" hidden="1"/>
    <cellStyle name="Followed Hyperlink" xfId="48" builtinId="9" hidden="1"/>
    <cellStyle name="Followed Hyperlink" xfId="54" builtinId="9" hidden="1"/>
    <cellStyle name="Hyperlink" xfId="27" builtinId="8" hidden="1"/>
    <cellStyle name="Hyperlink" xfId="53" builtinId="8" hidden="1"/>
    <cellStyle name="Hyperlink" xfId="49" builtinId="8" hidden="1"/>
    <cellStyle name="Hyperlink" xfId="45" builtinId="8" hidden="1"/>
    <cellStyle name="Hyperlink" xfId="51" builtinId="8" hidden="1"/>
    <cellStyle name="Hyperlink" xfId="39" builtinId="8" hidden="1"/>
    <cellStyle name="Hyperlink" xfId="43" builtinId="8" hidden="1"/>
    <cellStyle name="Hyperlink" xfId="31" builtinId="8" hidden="1"/>
    <cellStyle name="Hyperlink" xfId="11" builtinId="8" hidden="1"/>
    <cellStyle name="Hyperlink" xfId="13" builtinId="8" hidden="1"/>
    <cellStyle name="Hyperlink" xfId="17" builtinId="8" hidden="1"/>
    <cellStyle name="Hyperlink" xfId="41" builtinId="8" hidden="1"/>
    <cellStyle name="Hyperlink" xfId="47" builtinId="8" hidden="1"/>
    <cellStyle name="Hyperlink" xfId="21" builtinId="8" hidden="1"/>
    <cellStyle name="Hyperlink" xfId="23" builtinId="8" hidden="1"/>
    <cellStyle name="Hyperlink" xfId="25" builtinId="8" hidden="1"/>
    <cellStyle name="Hyperlink" xfId="15" builtinId="8" hidden="1"/>
    <cellStyle name="Hyperlink" xfId="7" builtinId="8" hidden="1"/>
    <cellStyle name="Hyperlink" xfId="29" builtinId="8" hidden="1"/>
    <cellStyle name="Hyperlink" xfId="33" builtinId="8" hidden="1"/>
    <cellStyle name="Hyperlink" xfId="35" builtinId="8" hidden="1"/>
    <cellStyle name="Hyperlink" xfId="37" builtinId="8" hidden="1"/>
    <cellStyle name="Hyperlink" xfId="5" builtinId="8" hidden="1"/>
    <cellStyle name="Hyperlink" xfId="3" builtinId="8" hidden="1"/>
    <cellStyle name="Hyperlink" xfId="9" builtinId="8" hidden="1"/>
    <cellStyle name="Hyperlink" xfId="19" builtinId="8" hidden="1"/>
    <cellStyle name="Normal" xfId="0" builtinId="0"/>
    <cellStyle name="Normal 2" xfId="1" xr:uid="{00000000-0005-0000-0000-000035000000}"/>
    <cellStyle name="Normal 3" xfId="2" xr:uid="{00000000-0005-0000-0000-000036000000}"/>
  </cellStyles>
  <dxfs count="58"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6D9"/>
      <color rgb="FFE3E9F5"/>
      <color rgb="FFFFFFAB"/>
      <color rgb="FFFDE7B1"/>
      <color rgb="FFFDE1A9"/>
      <color rgb="FFFDD7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OneDrive%20-%20moet.edu.vn/Dropbox/@My%20Work/@Du%20an/@2018/CSDL%20&#272;H/Phan%20mem/DANHMUC_03.01.19-review.xlsx" TargetMode="External"/><Relationship Id="rId1" Type="http://schemas.openxmlformats.org/officeDocument/2006/relationships/externalLinkPath" Target="/OneDrive%20-%20moet.edu.vn/Dropbox/@My%20Work/@Du%20an/@2018/CSDL%20&#272;H/Phan%20mem/DANHMUC_03.01.19-review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vanlangunivn-my.sharepoint.com/personal/k_cntt_vlu_edu_vn/Documents/Khoa%20C&#244;ng%20ngh&#7879;%20Th&#244;ng%20tin/01.%20&#272;&#224;o%20t&#7841;o/01.%20RA%20SOAT%20CT&#272;T/2024-2025/02_C&#7853;p%20nh&#7853;t%20&#272;i&#7873;u%20ki&#7879;n%20h&#7885;c%20Tr&#432;&#7899;c%20MH%20(2025-10-29)/Nganh%20CNTT/K30CNTT_UIS%20-%20Du%20Kien%20Ke%20Hoach%20Dao%20Tao.xlsx" TargetMode="External"/><Relationship Id="rId2" Type="http://schemas.microsoft.com/office/2019/04/relationships/externalLinkLongPath" Target="/personal/k_cntt_vlu_edu_vn/Documents/Khoa%20C&#244;ng%20ngh&#7879;%20Th&#244;ng%20tin/01.%20&#272;&#224;o%20t&#7841;o/01.%20RA%20SOAT%20CT&#272;T/2024-2025/02_C&#7853;p%20nh&#7853;t%20&#272;i&#7873;u%20ki&#7879;n%20h&#7885;c%20Tr&#432;&#7899;c%20MH%20(2025-10-29)/Nganh%20CNTT/K30CNTT_UIS%20-%20Du%20Kien%20Ke%20Hoach%20Dao%20Tao.xlsx?7EF88249" TargetMode="External"/><Relationship Id="rId1" Type="http://schemas.openxmlformats.org/officeDocument/2006/relationships/externalLinkPath" Target="file:///\\7EF88249\K30CNTT_UIS%20-%20Du%20Kien%20Ke%20Hoach%20Dao%20Tao.xlsx" TargetMode="External"/><Relationship Id="rId4" Type="http://schemas.openxmlformats.org/officeDocument/2006/relationships/externalLinkPath" Target="../../../../../../../../../k_cntt_vlu_edu_vn/Documents/Khoa%20C&#244;ng%20ngh&#7879;%20Th&#244;ng%20tin/01.%20&#272;&#224;o%20t&#7841;o/01.%20RA%20SOAT%20CT&#272;T/2024-2025/02_C&#7853;p%20nh&#7853;t%20&#272;i&#7873;u%20ki&#7879;n%20h&#7885;c%20Tr&#432;&#7899;c%20MH%20(2025-10-29)/Nganh%20CNTT/K30CNTT_UIS%20-%20Du%20Kien%20Ke%20Hoach%20Dao%20T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aiHinhTruong"/>
      <sheetName val="DM_KhoiNganh"/>
      <sheetName val="DM_NhomNganhDaoTao"/>
      <sheetName val="DM_NganhDT"/>
      <sheetName val="DM_TrangThaiSV"/>
      <sheetName val="HinhThucDaotao"/>
      <sheetName val="Bậc học"/>
      <sheetName val="LoaiTotNghiep"/>
      <sheetName val="DM_KhuyetTat"/>
      <sheetName val="DM_MienGiamHocPhi"/>
      <sheetName val="DM_NhomMau"/>
      <sheetName val="DM_Vung"/>
      <sheetName val="ChucVu"/>
      <sheetName val="DM_TrangThaiCB"/>
      <sheetName val="DM_NHOM_CAN_BO"/>
      <sheetName val="LoaiCanBo"/>
      <sheetName val="ViTriLamViec"/>
      <sheetName val="HinhThucTuyenDung"/>
      <sheetName val="HinhThucHopDong"/>
      <sheetName val="HocHam"/>
      <sheetName val="TrinhDoDaoTao"/>
      <sheetName val="LoaiChungChi"/>
      <sheetName val="LyDoThoiHoc"/>
      <sheetName val="NgheNghiep"/>
      <sheetName val="NguoiKy"/>
      <sheetName val="ThiDuaKhenThuong"/>
      <sheetName val="TinhTrangSucKhoe"/>
      <sheetName val="BacGiangday"/>
      <sheetName val="Chucdanhnghenghiep"/>
      <sheetName val="DM_QuocGia"/>
      <sheetName val="DanToc"/>
      <sheetName val="TonGiao"/>
      <sheetName val="DM_TinhThanhPho"/>
      <sheetName val="DM_QuanHuyen"/>
      <sheetName val="DM_XaPhuong"/>
      <sheetName val="DM_KhuVuc"/>
      <sheetName val="LoaiTruo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Sheet"/>
    </sheetNames>
    <sheetDataSet>
      <sheetData sheetId="0">
        <row r="10">
          <cell r="C10" t="str">
            <v>71SSK110023</v>
          </cell>
          <cell r="K10"/>
        </row>
        <row r="11">
          <cell r="C11" t="str">
            <v>71ITMA10104</v>
          </cell>
          <cell r="K11"/>
        </row>
        <row r="12">
          <cell r="C12" t="str">
            <v>71MATL10053</v>
          </cell>
          <cell r="K12"/>
        </row>
        <row r="13">
          <cell r="C13" t="str">
            <v>71ENVH10012</v>
          </cell>
          <cell r="K13"/>
        </row>
        <row r="14">
          <cell r="C14" t="str">
            <v>71LAWG10012</v>
          </cell>
          <cell r="K14"/>
        </row>
        <row r="15">
          <cell r="C15"/>
          <cell r="K15"/>
        </row>
        <row r="16">
          <cell r="C16" t="str">
            <v>71POLP10013</v>
          </cell>
          <cell r="K16"/>
        </row>
        <row r="17">
          <cell r="C17" t="str">
            <v>71POLE10022</v>
          </cell>
          <cell r="K17" t="str">
            <v>[71POLP10013]Triết học Mác-Lênin</v>
          </cell>
        </row>
        <row r="18">
          <cell r="C18" t="str">
            <v>71POLS10032</v>
          </cell>
          <cell r="K18" t="str">
            <v>[71POLP10013]Triết học Mác-Lênin</v>
          </cell>
        </row>
        <row r="19">
          <cell r="C19" t="str">
            <v>71POLH10042</v>
          </cell>
          <cell r="K19" t="str">
            <v>[71POLE10022]Kinh tế chính trị Mác-Lênin, [71POLS10032]Chủ nghĩa xã hội khoa học</v>
          </cell>
        </row>
        <row r="20">
          <cell r="C20" t="str">
            <v>71POLC10052</v>
          </cell>
          <cell r="K20" t="str">
            <v>[71POLE10022]Kinh tế chính trị Mác-Lênin, [71POLS10032]Chủ nghĩa xã hội khoa học</v>
          </cell>
        </row>
        <row r="21">
          <cell r="C21"/>
          <cell r="K21"/>
        </row>
        <row r="22">
          <cell r="C22" t="str">
            <v>71ENG010000</v>
          </cell>
          <cell r="K22"/>
        </row>
        <row r="23">
          <cell r="C23" t="str">
            <v>71ENG010012</v>
          </cell>
          <cell r="K23"/>
        </row>
        <row r="24">
          <cell r="C24" t="str">
            <v>71ENG110013</v>
          </cell>
          <cell r="K24"/>
        </row>
        <row r="25">
          <cell r="C25" t="str">
            <v>71ENG210023</v>
          </cell>
          <cell r="K25"/>
        </row>
        <row r="26">
          <cell r="C26" t="str">
            <v>71ENG310033</v>
          </cell>
          <cell r="K26"/>
        </row>
        <row r="27">
          <cell r="C27" t="str">
            <v>71ENG410043</v>
          </cell>
          <cell r="K27"/>
        </row>
        <row r="28">
          <cell r="C28" t="str">
            <v>71ENG510053</v>
          </cell>
          <cell r="K28"/>
        </row>
        <row r="29">
          <cell r="C29" t="str">
            <v>71ENG610063</v>
          </cell>
          <cell r="K29"/>
        </row>
        <row r="30">
          <cell r="C30" t="str">
            <v>71ENG710073</v>
          </cell>
          <cell r="K30"/>
        </row>
        <row r="31">
          <cell r="C31" t="str">
            <v>71ENG710080</v>
          </cell>
          <cell r="K31"/>
        </row>
        <row r="32">
          <cell r="C32"/>
          <cell r="K32"/>
        </row>
        <row r="33">
          <cell r="C33" t="str">
            <v>71PEKC10062</v>
          </cell>
          <cell r="K33"/>
        </row>
        <row r="34">
          <cell r="C34" t="str">
            <v>71PESW10042</v>
          </cell>
          <cell r="K34"/>
        </row>
        <row r="35">
          <cell r="C35" t="str">
            <v>71PEYO10142</v>
          </cell>
          <cell r="K35"/>
        </row>
        <row r="36">
          <cell r="C36" t="str">
            <v>71PEKC10172</v>
          </cell>
          <cell r="K36" t="str">
            <v>[71PEKC10062]Cờ vua</v>
          </cell>
        </row>
        <row r="37">
          <cell r="C37" t="str">
            <v>71PEBA10052</v>
          </cell>
          <cell r="K37"/>
        </row>
        <row r="38">
          <cell r="C38" t="str">
            <v>71PEBB10032</v>
          </cell>
          <cell r="K38"/>
        </row>
        <row r="39">
          <cell r="C39" t="str">
            <v>71PEDA10102</v>
          </cell>
          <cell r="K39"/>
        </row>
        <row r="40">
          <cell r="C40" t="str">
            <v>71PEFI10072</v>
          </cell>
          <cell r="K40"/>
        </row>
        <row r="41">
          <cell r="C41" t="str">
            <v>71PEFU10082</v>
          </cell>
          <cell r="K41"/>
        </row>
        <row r="42">
          <cell r="C42" t="str">
            <v>71PEGO10092</v>
          </cell>
          <cell r="K42"/>
        </row>
        <row r="43">
          <cell r="C43" t="str">
            <v>71PEMA10132</v>
          </cell>
          <cell r="K43"/>
        </row>
        <row r="44">
          <cell r="C44" t="str">
            <v>71PEMT10152</v>
          </cell>
          <cell r="K44"/>
        </row>
        <row r="45">
          <cell r="C45" t="str">
            <v>71PESC10112</v>
          </cell>
          <cell r="K45"/>
        </row>
        <row r="46">
          <cell r="C46" t="str">
            <v>71PESS10162</v>
          </cell>
          <cell r="K46"/>
        </row>
        <row r="47">
          <cell r="C47" t="str">
            <v>71PETE10122</v>
          </cell>
          <cell r="K47"/>
        </row>
        <row r="48">
          <cell r="C48" t="str">
            <v>71PETT10012</v>
          </cell>
          <cell r="K48"/>
        </row>
        <row r="49">
          <cell r="C49" t="str">
            <v>71PEVB10022</v>
          </cell>
          <cell r="K49"/>
        </row>
        <row r="50">
          <cell r="C50" t="str">
            <v>71NAD110013</v>
          </cell>
          <cell r="K50"/>
        </row>
        <row r="51">
          <cell r="C51" t="str">
            <v>71NAD210022</v>
          </cell>
          <cell r="K51"/>
        </row>
        <row r="52">
          <cell r="C52" t="str">
            <v>71NAD310032</v>
          </cell>
          <cell r="K52"/>
        </row>
        <row r="53">
          <cell r="C53" t="str">
            <v>71NAD410044</v>
          </cell>
          <cell r="K53"/>
        </row>
        <row r="54">
          <cell r="C54"/>
          <cell r="K54"/>
        </row>
        <row r="55">
          <cell r="C55" t="str">
            <v>71ITBS10103</v>
          </cell>
          <cell r="K55"/>
        </row>
        <row r="56">
          <cell r="C56" t="str">
            <v>71ITBS10203</v>
          </cell>
          <cell r="K56"/>
        </row>
        <row r="57">
          <cell r="C57" t="str">
            <v>71ITNW30103</v>
          </cell>
          <cell r="K57"/>
        </row>
        <row r="58">
          <cell r="C58" t="str">
            <v>71ITSE30103</v>
          </cell>
          <cell r="K58" t="str">
            <v>[71ITBS10203]Cơ sở lập trình</v>
          </cell>
        </row>
        <row r="59">
          <cell r="C59" t="str">
            <v>71ITIS30103</v>
          </cell>
          <cell r="K59"/>
        </row>
        <row r="60">
          <cell r="C60" t="str">
            <v>71ITSE30303</v>
          </cell>
          <cell r="K60" t="str">
            <v>[71ITBS10203]Cơ sở lập trình</v>
          </cell>
        </row>
        <row r="61">
          <cell r="C61" t="str">
            <v>71ITMA10403</v>
          </cell>
          <cell r="K61" t="str">
            <v>[71ITMA10104]Toán cao cấp và ứng dụng</v>
          </cell>
        </row>
        <row r="62">
          <cell r="C62"/>
          <cell r="K62"/>
        </row>
        <row r="63">
          <cell r="C63" t="str">
            <v>71ITSE30203</v>
          </cell>
          <cell r="K63" t="str">
            <v>[71ITBS10203]Cơ sở lập trình</v>
          </cell>
        </row>
        <row r="64">
          <cell r="C64" t="str">
            <v>71ITSE30503</v>
          </cell>
          <cell r="K64" t="str">
            <v>[71ITBS10203]Cơ sở lập trình</v>
          </cell>
        </row>
        <row r="65">
          <cell r="C65" t="str">
            <v>71ITDS30103</v>
          </cell>
          <cell r="K65" t="str">
            <v>[71ITBS10103]Nhập môn công nghệ thông tin</v>
          </cell>
        </row>
        <row r="66">
          <cell r="C66" t="str">
            <v>71ISBC30103</v>
          </cell>
          <cell r="K66" t="str">
            <v>[71ITBS10103]Nhập môn công nghệ thông tin</v>
          </cell>
        </row>
        <row r="67">
          <cell r="C67" t="str">
            <v>71ITDS40203</v>
          </cell>
          <cell r="K67" t="str">
            <v>[71ITMA10403]Toán rời rạc</v>
          </cell>
        </row>
        <row r="68">
          <cell r="C68" t="str">
            <v>71ITSE30403</v>
          </cell>
          <cell r="K68"/>
        </row>
        <row r="69">
          <cell r="C69" t="str">
            <v>71ITIS30303</v>
          </cell>
          <cell r="K69" t="str">
            <v>[71ITBS10103]Nhập môn công nghệ thông tin</v>
          </cell>
        </row>
        <row r="70">
          <cell r="C70" t="str">
            <v>71ITNW30303</v>
          </cell>
          <cell r="K70"/>
        </row>
        <row r="71">
          <cell r="C71" t="str">
            <v>71ITAI40103</v>
          </cell>
          <cell r="K71" t="str">
            <v>[71ITBS10203]Cơ sở lập trình</v>
          </cell>
        </row>
        <row r="72">
          <cell r="C72" t="str">
            <v>71NWSE40103</v>
          </cell>
          <cell r="K72"/>
        </row>
        <row r="73">
          <cell r="C73" t="str">
            <v>71ITSE30903</v>
          </cell>
          <cell r="K73"/>
        </row>
        <row r="74">
          <cell r="C74" t="str">
            <v>71ITDS30203</v>
          </cell>
          <cell r="K74"/>
        </row>
        <row r="75">
          <cell r="C75"/>
          <cell r="K75"/>
        </row>
        <row r="76">
          <cell r="C76" t="str">
            <v>71ITSE30603</v>
          </cell>
          <cell r="K76" t="str">
            <v>[71ITBS10203]Cơ sở lập trình</v>
          </cell>
        </row>
        <row r="77">
          <cell r="C77" t="str">
            <v>71ITDS40303</v>
          </cell>
          <cell r="K77"/>
        </row>
        <row r="78">
          <cell r="C78" t="str">
            <v>71ITSE41003</v>
          </cell>
          <cell r="K78" t="str">
            <v>[71ITBS10103]Nhập môn công nghệ thông tin</v>
          </cell>
        </row>
        <row r="79">
          <cell r="C79" t="str">
            <v>71ITAI40803</v>
          </cell>
          <cell r="K79"/>
        </row>
        <row r="80">
          <cell r="C80" t="str">
            <v>71ITAI40203</v>
          </cell>
          <cell r="K80" t="str">
            <v>[71ITDS40203]Xác suất thống kê ứng dụng</v>
          </cell>
        </row>
        <row r="81">
          <cell r="C81" t="str">
            <v>71ITAI40303</v>
          </cell>
          <cell r="K81"/>
        </row>
        <row r="82">
          <cell r="C82" t="str">
            <v>71ITSE41103</v>
          </cell>
          <cell r="K82" t="str">
            <v>[71ITSE41003]Nhập môn công nghệ phần mềm</v>
          </cell>
        </row>
        <row r="83">
          <cell r="C83" t="str">
            <v>71ITSE41203</v>
          </cell>
          <cell r="K83" t="str">
            <v>[71ITSE41003]Nhập môn công nghệ phần mềm</v>
          </cell>
        </row>
        <row r="84">
          <cell r="C84" t="str">
            <v>71ITAI40503</v>
          </cell>
          <cell r="K84" t="str">
            <v>[71ITDS40203]Xác suất thống kê ứng dụng</v>
          </cell>
        </row>
        <row r="85">
          <cell r="C85" t="str">
            <v>71ITAI41203</v>
          </cell>
          <cell r="K85" t="str">
            <v>[71ITDS40203]Xác suất thống kê ứng dụng</v>
          </cell>
        </row>
        <row r="86">
          <cell r="C86" t="str">
            <v>71ITIS30203</v>
          </cell>
          <cell r="K86" t="str">
            <v>[71ITIS30103]Cơ sở dữ liệu</v>
          </cell>
        </row>
        <row r="87">
          <cell r="C87" t="str">
            <v>71ITAI51403</v>
          </cell>
          <cell r="K87"/>
        </row>
        <row r="88">
          <cell r="C88" t="str">
            <v>71ITNW30403</v>
          </cell>
          <cell r="K88"/>
        </row>
        <row r="89">
          <cell r="C89" t="str">
            <v>71ITSE30703</v>
          </cell>
          <cell r="K89" t="str">
            <v>[71ITSE30603]Lập trình ứng dụng di động</v>
          </cell>
        </row>
        <row r="90">
          <cell r="C90" t="str">
            <v>71ITSE31003</v>
          </cell>
          <cell r="K90"/>
        </row>
        <row r="91">
          <cell r="C91" t="str">
            <v>71ITAI40903</v>
          </cell>
          <cell r="K91" t="str">
            <v>[71ITSE30303]Cấu trúc dữ liệu và giải thuật</v>
          </cell>
        </row>
        <row r="92">
          <cell r="C92" t="str">
            <v>71ITDS40403</v>
          </cell>
          <cell r="K92"/>
        </row>
        <row r="93">
          <cell r="C93" t="str">
            <v>71ITDS40503</v>
          </cell>
          <cell r="K93" t="str">
            <v>[71ITIS30103]Cơ sở dữ liệu</v>
          </cell>
        </row>
        <row r="94">
          <cell r="C94" t="str">
            <v>71ITSE41303</v>
          </cell>
          <cell r="K94" t="str">
            <v>[71ITSE41103]Kỹ thuật lấy yêu cầu</v>
          </cell>
        </row>
        <row r="95">
          <cell r="C95" t="str">
            <v>71ITSE41403</v>
          </cell>
          <cell r="K95" t="str">
            <v>[71ITSE30503]Lập trình ứng dụng web</v>
          </cell>
        </row>
        <row r="96">
          <cell r="C96" t="str">
            <v>71ITSE41503</v>
          </cell>
          <cell r="K96" t="str">
            <v>[71ITSE41103]Kỹ thuật lấy yêu cầu</v>
          </cell>
        </row>
        <row r="97">
          <cell r="C97" t="str">
            <v>71ITAI40403</v>
          </cell>
          <cell r="K97" t="str">
            <v>[71ITAI40503]Trí tuệ nhân tạo ứng dụng</v>
          </cell>
        </row>
        <row r="98">
          <cell r="C98" t="str">
            <v>71ITAI40603</v>
          </cell>
          <cell r="K98" t="str">
            <v>[71ITAI41203]Học máy và ứng dụng</v>
          </cell>
        </row>
        <row r="99">
          <cell r="C99" t="str">
            <v>71ITAI41303</v>
          </cell>
          <cell r="K99"/>
        </row>
        <row r="100">
          <cell r="C100" t="str">
            <v>71ITSE30803</v>
          </cell>
          <cell r="K100" t="str">
            <v>[71ITSE30403]Lập trình ứng dụng Java</v>
          </cell>
        </row>
        <row r="101">
          <cell r="C101" t="str">
            <v>71ITSE41603</v>
          </cell>
          <cell r="K101" t="str">
            <v>[71ITSE41203]Kiểm thử phần mềm</v>
          </cell>
        </row>
        <row r="102">
          <cell r="C102"/>
          <cell r="K102"/>
        </row>
        <row r="103">
          <cell r="C103" t="str">
            <v>71ITIN40304</v>
          </cell>
          <cell r="K103" t="str">
            <v>[71ITSE30103] Kỹ thuật lập trình</v>
          </cell>
        </row>
        <row r="104">
          <cell r="C104"/>
          <cell r="K104"/>
        </row>
        <row r="105">
          <cell r="C105" t="str">
            <v>71ITGR40206</v>
          </cell>
          <cell r="K105" t="str">
            <v>Dựa theo quy định cụ thể của Khoa cho từng chuyên ngành</v>
          </cell>
        </row>
        <row r="106">
          <cell r="C106" t="str">
            <v>71ITIS30503</v>
          </cell>
          <cell r="K106" t="str">
            <v>[71ITBS10103]Nhập môn công nghệ thông tin</v>
          </cell>
        </row>
        <row r="107">
          <cell r="C107" t="str">
            <v>71ITIS30603</v>
          </cell>
          <cell r="K107" t="str">
            <v>[71ITBS10103]Nhập môn công nghệ thông tin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1"/>
  <sheetViews>
    <sheetView tabSelected="1" view="pageBreakPreview" topLeftCell="A78" zoomScaleNormal="90" zoomScaleSheetLayoutView="100" workbookViewId="0">
      <selection activeCell="E64" sqref="E64"/>
    </sheetView>
  </sheetViews>
  <sheetFormatPr defaultColWidth="10.44140625" defaultRowHeight="16.8" x14ac:dyDescent="0.3"/>
  <cols>
    <col min="1" max="1" width="7.44140625" style="17" customWidth="1"/>
    <col min="2" max="3" width="9.109375" style="17" customWidth="1"/>
    <col min="4" max="4" width="14.6640625" style="18" customWidth="1"/>
    <col min="5" max="5" width="36.6640625" style="19" customWidth="1"/>
    <col min="6" max="6" width="5.44140625" style="17" customWidth="1"/>
    <col min="7" max="9" width="7.33203125" style="17" customWidth="1"/>
    <col min="10" max="10" width="6.88671875" style="17" customWidth="1"/>
    <col min="11" max="11" width="10.44140625" style="17"/>
    <col min="12" max="12" width="22.5546875" style="19" customWidth="1"/>
    <col min="13" max="13" width="46.33203125" style="20" customWidth="1"/>
    <col min="14" max="14" width="7.44140625" style="113" customWidth="1"/>
    <col min="15" max="15" width="8.6640625" style="17" customWidth="1"/>
    <col min="16" max="16" width="7" style="113" customWidth="1"/>
    <col min="17" max="17" width="5.109375" style="272" customWidth="1"/>
    <col min="18" max="16384" width="10.44140625" style="17"/>
  </cols>
  <sheetData>
    <row r="1" spans="1:18" x14ac:dyDescent="0.3">
      <c r="A1" s="16" t="s">
        <v>0</v>
      </c>
    </row>
    <row r="2" spans="1:18" x14ac:dyDescent="0.3">
      <c r="A2" s="16" t="s">
        <v>1</v>
      </c>
    </row>
    <row r="3" spans="1:18" ht="10.35" customHeight="1" x14ac:dyDescent="0.3"/>
    <row r="4" spans="1:18" ht="25.5" customHeight="1" x14ac:dyDescent="0.3">
      <c r="A4" s="38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114">
        <f>SUM(N9:N100)</f>
        <v>126</v>
      </c>
      <c r="O4" s="121"/>
    </row>
    <row r="5" spans="1:18" ht="8.4" customHeight="1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8" s="22" customFormat="1" ht="10.8" thickBot="1" x14ac:dyDescent="0.25">
      <c r="D6" s="23"/>
      <c r="E6" s="24">
        <v>2</v>
      </c>
      <c r="F6" s="22">
        <v>4</v>
      </c>
      <c r="G6" s="22">
        <v>5</v>
      </c>
      <c r="H6" s="22">
        <v>6</v>
      </c>
      <c r="I6" s="22">
        <v>7</v>
      </c>
      <c r="J6" s="22">
        <v>8</v>
      </c>
      <c r="K6" s="22">
        <v>9</v>
      </c>
      <c r="L6" s="24">
        <v>10</v>
      </c>
      <c r="M6" s="24">
        <v>11</v>
      </c>
      <c r="Q6" s="271"/>
    </row>
    <row r="7" spans="1:18" ht="24" customHeight="1" x14ac:dyDescent="0.3">
      <c r="A7" s="331" t="s">
        <v>3</v>
      </c>
      <c r="B7" s="333" t="s">
        <v>4</v>
      </c>
      <c r="C7" s="341" t="s">
        <v>5</v>
      </c>
      <c r="D7" s="335" t="s">
        <v>6</v>
      </c>
      <c r="E7" s="333" t="s">
        <v>7</v>
      </c>
      <c r="F7" s="333" t="s">
        <v>8</v>
      </c>
      <c r="G7" s="333" t="s">
        <v>9</v>
      </c>
      <c r="H7" s="333"/>
      <c r="I7" s="333"/>
      <c r="J7" s="333"/>
      <c r="K7" s="333" t="s">
        <v>10</v>
      </c>
      <c r="L7" s="333" t="s">
        <v>11</v>
      </c>
      <c r="M7" s="339" t="s">
        <v>12</v>
      </c>
      <c r="N7" s="337" t="s">
        <v>13</v>
      </c>
      <c r="O7" s="337" t="s">
        <v>14</v>
      </c>
    </row>
    <row r="8" spans="1:18" ht="24" customHeight="1" thickBot="1" x14ac:dyDescent="0.35">
      <c r="A8" s="332"/>
      <c r="B8" s="334"/>
      <c r="C8" s="342"/>
      <c r="D8" s="336"/>
      <c r="E8" s="334"/>
      <c r="F8" s="334"/>
      <c r="G8" s="70" t="s">
        <v>15</v>
      </c>
      <c r="H8" s="70" t="s">
        <v>16</v>
      </c>
      <c r="I8" s="70" t="s">
        <v>17</v>
      </c>
      <c r="J8" s="70" t="s">
        <v>3</v>
      </c>
      <c r="K8" s="334"/>
      <c r="L8" s="334"/>
      <c r="M8" s="340"/>
      <c r="N8" s="338"/>
      <c r="O8" s="338"/>
    </row>
    <row r="9" spans="1:18" ht="25.5" customHeight="1" x14ac:dyDescent="0.3">
      <c r="A9" s="344" t="s">
        <v>18</v>
      </c>
      <c r="B9" s="214">
        <v>1</v>
      </c>
      <c r="C9" s="214">
        <v>1</v>
      </c>
      <c r="D9" s="214" t="s">
        <v>19</v>
      </c>
      <c r="E9" s="215" t="str">
        <f>VLOOKUP($D9,'Khung_CTĐT_CNTT_K30 (2024)'!$B$10:$L$96,'Ke hoach giảng dạy CNTT'!E$6,0)</f>
        <v>Anh văn 1 (AV1)</v>
      </c>
      <c r="F9" s="214">
        <f>VLOOKUP($D9,'Khung_CTĐT_CNTT_K30 (2024)'!$B$10:$L$96,'Ke hoach giảng dạy CNTT'!F$6,0)</f>
        <v>3</v>
      </c>
      <c r="G9" s="214">
        <f>VLOOKUP($D9,'Khung_CTĐT_CNTT_K30 (2024)'!$B$10:$L$96,'Ke hoach giảng dạy CNTT'!G$6,0)</f>
        <v>30</v>
      </c>
      <c r="H9" s="214">
        <f>VLOOKUP($D9,'Khung_CTĐT_CNTT_K30 (2024)'!$B$10:$L$96,'Ke hoach giảng dạy CNTT'!H$6,0)</f>
        <v>30</v>
      </c>
      <c r="I9" s="214">
        <f>VLOOKUP($D9,'Khung_CTĐT_CNTT_K30 (2024)'!$B$10:$L$96,'Ke hoach giảng dạy CNTT'!I$6,0)</f>
        <v>0</v>
      </c>
      <c r="J9" s="214">
        <f>VLOOKUP($D9,'Khung_CTĐT_CNTT_K30 (2024)'!$B$10:$L$96,'Ke hoach giảng dạy CNTT'!J$6,0)</f>
        <v>0</v>
      </c>
      <c r="K9" s="214" t="str">
        <f>VLOOKUP($D9,'Khung_CTĐT_CNTT_K30 (2024)'!$B$10:$L$96,'Ke hoach giảng dạy CNTT'!K$6,0)</f>
        <v>BB</v>
      </c>
      <c r="L9" s="216" t="str">
        <f>VLOOKUP($D9,'Khung_CTĐT_CNTT_K30 (2024)'!$B$10:$L$96,'Ke hoach giảng dạy CNTT'!L$6,0)</f>
        <v>[71ENG010012]Anh văn dự bị (AV0)</v>
      </c>
      <c r="M9" s="217" t="str">
        <f>VLOOKUP($D9,'Khung_CTĐT_CNTT_K30 (2024)'!$B$10:$L$96,'Ke hoach giảng dạy CNTT'!M$6,0)</f>
        <v xml:space="preserve">Không </v>
      </c>
      <c r="N9" s="218">
        <f>SUM(F9:F12)</f>
        <v>12</v>
      </c>
      <c r="O9" s="219"/>
      <c r="P9" s="113">
        <v>12</v>
      </c>
      <c r="Q9" s="272">
        <v>1</v>
      </c>
    </row>
    <row r="10" spans="1:18" x14ac:dyDescent="0.3">
      <c r="A10" s="345"/>
      <c r="B10" s="220">
        <v>1</v>
      </c>
      <c r="C10" s="220">
        <v>1</v>
      </c>
      <c r="D10" s="220" t="s">
        <v>20</v>
      </c>
      <c r="E10" s="221" t="str">
        <f>VLOOKUP($D10,'Khung_CTĐT_CNTT_K30 (2024)'!$B$10:$L$96,'Ke hoach giảng dạy CNTT'!E$6,0)</f>
        <v xml:space="preserve">Nhập môn Công nghệ thông tin </v>
      </c>
      <c r="F10" s="220">
        <f>VLOOKUP($D10,'Khung_CTĐT_CNTT_K30 (2024)'!$B$10:$L$96,'Ke hoach giảng dạy CNTT'!F$6,0)</f>
        <v>3</v>
      </c>
      <c r="G10" s="220">
        <f>VLOOKUP($D10,'Khung_CTĐT_CNTT_K30 (2024)'!$B$10:$L$96,'Ke hoach giảng dạy CNTT'!G$6,0)</f>
        <v>30</v>
      </c>
      <c r="H10" s="220">
        <f>VLOOKUP($D10,'Khung_CTĐT_CNTT_K30 (2024)'!$B$10:$L$96,'Ke hoach giảng dạy CNTT'!H$6,0)</f>
        <v>30</v>
      </c>
      <c r="I10" s="220">
        <f>VLOOKUP($D10,'Khung_CTĐT_CNTT_K30 (2024)'!$B$10:$L$96,'Ke hoach giảng dạy CNTT'!I$6,0)</f>
        <v>0</v>
      </c>
      <c r="J10" s="220">
        <f>VLOOKUP($D10,'Khung_CTĐT_CNTT_K30 (2024)'!$B$10:$L$96,'Ke hoach giảng dạy CNTT'!J$6,0)</f>
        <v>0</v>
      </c>
      <c r="K10" s="220" t="str">
        <f>VLOOKUP($D10,'Khung_CTĐT_CNTT_K30 (2024)'!$B$10:$L$96,'Ke hoach giảng dạy CNTT'!K$6,0)</f>
        <v>BB</v>
      </c>
      <c r="L10" s="222" t="str">
        <f>VLOOKUP($D10,'Khung_CTĐT_CNTT_K30 (2024)'!$B$10:$L$96,'Ke hoach giảng dạy CNTT'!L$6,0)</f>
        <v>Không</v>
      </c>
      <c r="M10" s="223" t="str">
        <f>VLOOKUP($D10,'Khung_CTĐT_CNTT_K30 (2024)'!$B$10:$L$96,'Ke hoach giảng dạy CNTT'!M$6,0)</f>
        <v>Không</v>
      </c>
      <c r="N10" s="218"/>
      <c r="O10" s="219"/>
      <c r="Q10" s="272">
        <f t="shared" ref="Q10:Q17" si="0">Q9</f>
        <v>1</v>
      </c>
      <c r="R10" s="17" t="str">
        <f>IFERROR(VLOOKUP(D10,$D$9:D9,1,0),"")</f>
        <v/>
      </c>
    </row>
    <row r="11" spans="1:18" x14ac:dyDescent="0.3">
      <c r="A11" s="345"/>
      <c r="B11" s="220">
        <v>1</v>
      </c>
      <c r="C11" s="220">
        <v>1</v>
      </c>
      <c r="D11" s="220" t="s">
        <v>21</v>
      </c>
      <c r="E11" s="221" t="str">
        <f>VLOOKUP($D11,'Khung_CTĐT_CNTT_K30 (2024)'!$B$10:$L$96,'Ke hoach giảng dạy CNTT'!E$6,0)</f>
        <v xml:space="preserve">Cơ sở lập trình </v>
      </c>
      <c r="F11" s="220">
        <f>VLOOKUP($D11,'Khung_CTĐT_CNTT_K30 (2024)'!$B$10:$L$96,'Ke hoach giảng dạy CNTT'!F$6,0)</f>
        <v>3</v>
      </c>
      <c r="G11" s="220">
        <f>VLOOKUP($D11,'Khung_CTĐT_CNTT_K30 (2024)'!$B$10:$L$96,'Ke hoach giảng dạy CNTT'!G$6,0)</f>
        <v>30</v>
      </c>
      <c r="H11" s="220">
        <f>VLOOKUP($D11,'Khung_CTĐT_CNTT_K30 (2024)'!$B$10:$L$96,'Ke hoach giảng dạy CNTT'!H$6,0)</f>
        <v>30</v>
      </c>
      <c r="I11" s="220">
        <f>VLOOKUP($D11,'Khung_CTĐT_CNTT_K30 (2024)'!$B$10:$L$96,'Ke hoach giảng dạy CNTT'!I$6,0)</f>
        <v>0</v>
      </c>
      <c r="J11" s="220">
        <f>VLOOKUP($D11,'Khung_CTĐT_CNTT_K30 (2024)'!$B$10:$L$96,'Ke hoach giảng dạy CNTT'!J$6,0)</f>
        <v>0</v>
      </c>
      <c r="K11" s="220" t="str">
        <f>VLOOKUP($D11,'Khung_CTĐT_CNTT_K30 (2024)'!$B$10:$L$96,'Ke hoach giảng dạy CNTT'!K$6,0)</f>
        <v>BB</v>
      </c>
      <c r="L11" s="222" t="str">
        <f>VLOOKUP($D11,'Khung_CTĐT_CNTT_K30 (2024)'!$B$10:$L$96,'Ke hoach giảng dạy CNTT'!L$6,0)</f>
        <v>Không</v>
      </c>
      <c r="M11" s="223" t="str">
        <f>VLOOKUP($D11,'Khung_CTĐT_CNTT_K30 (2024)'!$B$10:$L$96,'Ke hoach giảng dạy CNTT'!M$6,0)</f>
        <v>Không</v>
      </c>
      <c r="N11" s="218"/>
      <c r="O11" s="219"/>
      <c r="Q11" s="272">
        <f t="shared" si="0"/>
        <v>1</v>
      </c>
      <c r="R11" s="17" t="str">
        <f>IFERROR(VLOOKUP(D11,$D$9:D10,1,0),"")</f>
        <v/>
      </c>
    </row>
    <row r="12" spans="1:18" x14ac:dyDescent="0.3">
      <c r="A12" s="345"/>
      <c r="B12" s="220">
        <v>1</v>
      </c>
      <c r="C12" s="220">
        <v>1</v>
      </c>
      <c r="D12" s="220" t="s">
        <v>22</v>
      </c>
      <c r="E12" s="221" t="str">
        <f>VLOOKUP($D12,'Khung_CTĐT_CNTT_K30 (2024)'!$B$10:$L$96,'Ke hoach giảng dạy CNTT'!E$6,0)</f>
        <v>Kỹ năng công dân toàn cầu</v>
      </c>
      <c r="F12" s="220">
        <f>VLOOKUP($D12,'Khung_CTĐT_CNTT_K30 (2024)'!$B$10:$L$96,'Ke hoach giảng dạy CNTT'!F$6,0)</f>
        <v>3</v>
      </c>
      <c r="G12" s="220">
        <f>VLOOKUP($D12,'Khung_CTĐT_CNTT_K30 (2024)'!$B$10:$L$96,'Ke hoach giảng dạy CNTT'!G$6,0)</f>
        <v>45</v>
      </c>
      <c r="H12" s="220">
        <f>VLOOKUP($D12,'Khung_CTĐT_CNTT_K30 (2024)'!$B$10:$L$96,'Ke hoach giảng dạy CNTT'!H$6,0)</f>
        <v>0</v>
      </c>
      <c r="I12" s="220">
        <f>VLOOKUP($D12,'Khung_CTĐT_CNTT_K30 (2024)'!$B$10:$L$96,'Ke hoach giảng dạy CNTT'!I$6,0)</f>
        <v>0</v>
      </c>
      <c r="J12" s="220">
        <f>VLOOKUP($D12,'Khung_CTĐT_CNTT_K30 (2024)'!$B$10:$L$96,'Ke hoach giảng dạy CNTT'!J$6,0)</f>
        <v>0</v>
      </c>
      <c r="K12" s="220" t="str">
        <f>VLOOKUP($D12,'Khung_CTĐT_CNTT_K30 (2024)'!$B$10:$L$96,'Ke hoach giảng dạy CNTT'!K$6,0)</f>
        <v>BB</v>
      </c>
      <c r="L12" s="222" t="str">
        <f>VLOOKUP($D12,'Khung_CTĐT_CNTT_K30 (2024)'!$B$10:$L$96,'Ke hoach giảng dạy CNTT'!L$6,0)</f>
        <v>Không</v>
      </c>
      <c r="M12" s="223" t="str">
        <f>VLOOKUP($D12,'Khung_CTĐT_CNTT_K30 (2024)'!$B$10:$L$96,'Ke hoach giảng dạy CNTT'!M$6,0)</f>
        <v>Không</v>
      </c>
      <c r="N12" s="218"/>
      <c r="O12" s="219"/>
      <c r="Q12" s="272">
        <f t="shared" si="0"/>
        <v>1</v>
      </c>
      <c r="R12" s="17" t="str">
        <f>IFERROR(VLOOKUP(D12,$D$9:D11,1,0),"")</f>
        <v/>
      </c>
    </row>
    <row r="13" spans="1:18" x14ac:dyDescent="0.3">
      <c r="A13" s="345"/>
      <c r="B13" s="220">
        <v>1</v>
      </c>
      <c r="C13" s="220">
        <v>1</v>
      </c>
      <c r="D13" s="220" t="s">
        <v>23</v>
      </c>
      <c r="E13" s="221" t="str">
        <f>VLOOKUP($D13,'Khung_CTĐT_CNTT_K30 (2024)'!$B$10:$L$96,'Ke hoach giảng dạy CNTT'!E$6,0)</f>
        <v>GDQP1: Đường lối QP và AN của ĐCSVN</v>
      </c>
      <c r="F13" s="220">
        <f>VLOOKUP($D13,'Khung_CTĐT_CNTT_K30 (2024)'!$B$10:$L$96,'Ke hoach giảng dạy CNTT'!F$6,0)</f>
        <v>3</v>
      </c>
      <c r="G13" s="220">
        <f>VLOOKUP($D13,'Khung_CTĐT_CNTT_K30 (2024)'!$B$10:$L$96,'Ke hoach giảng dạy CNTT'!G$6,0)</f>
        <v>0</v>
      </c>
      <c r="H13" s="220">
        <f>VLOOKUP($D13,'Khung_CTĐT_CNTT_K30 (2024)'!$B$10:$L$96,'Ke hoach giảng dạy CNTT'!H$6,0)</f>
        <v>0</v>
      </c>
      <c r="I13" s="220">
        <f>VLOOKUP($D13,'Khung_CTĐT_CNTT_K30 (2024)'!$B$10:$L$96,'Ke hoach giảng dạy CNTT'!I$6,0)</f>
        <v>0</v>
      </c>
      <c r="J13" s="220">
        <f>VLOOKUP($D13,'Khung_CTĐT_CNTT_K30 (2024)'!$B$10:$L$96,'Ke hoach giảng dạy CNTT'!J$6,0)</f>
        <v>0</v>
      </c>
      <c r="K13" s="220" t="str">
        <f>VLOOKUP($D13,'Khung_CTĐT_CNTT_K30 (2024)'!$B$10:$L$96,'Ke hoach giảng dạy CNTT'!K$6,0)</f>
        <v>BB</v>
      </c>
      <c r="L13" s="222" t="str">
        <f>VLOOKUP($D13,'Khung_CTĐT_CNTT_K30 (2024)'!$B$10:$L$96,'Ke hoach giảng dạy CNTT'!L$6,0)</f>
        <v/>
      </c>
      <c r="M13" s="223" t="str">
        <f>VLOOKUP($D13,'Khung_CTĐT_CNTT_K30 (2024)'!$B$10:$L$96,'Ke hoach giảng dạy CNTT'!M$6,0)</f>
        <v/>
      </c>
      <c r="N13" s="218"/>
      <c r="O13" s="219"/>
      <c r="Q13" s="272">
        <f t="shared" si="0"/>
        <v>1</v>
      </c>
      <c r="R13" s="17" t="str">
        <f>IFERROR(VLOOKUP(D13,$D$9:D12,1,0),"")</f>
        <v/>
      </c>
    </row>
    <row r="14" spans="1:18" x14ac:dyDescent="0.3">
      <c r="A14" s="345"/>
      <c r="B14" s="220">
        <v>1</v>
      </c>
      <c r="C14" s="220">
        <v>1</v>
      </c>
      <c r="D14" s="220" t="s">
        <v>24</v>
      </c>
      <c r="E14" s="221" t="str">
        <f>VLOOKUP($D14,'Khung_CTĐT_CNTT_K30 (2024)'!$B$10:$L$96,'Ke hoach giảng dạy CNTT'!E$6,0)</f>
        <v>GDQP2: Công tác quốc phòng và an ninh</v>
      </c>
      <c r="F14" s="220">
        <f>VLOOKUP($D14,'Khung_CTĐT_CNTT_K30 (2024)'!$B$10:$L$96,'Ke hoach giảng dạy CNTT'!F$6,0)</f>
        <v>2</v>
      </c>
      <c r="G14" s="220">
        <f>VLOOKUP($D14,'Khung_CTĐT_CNTT_K30 (2024)'!$B$10:$L$96,'Ke hoach giảng dạy CNTT'!G$6,0)</f>
        <v>0</v>
      </c>
      <c r="H14" s="220">
        <f>VLOOKUP($D14,'Khung_CTĐT_CNTT_K30 (2024)'!$B$10:$L$96,'Ke hoach giảng dạy CNTT'!H$6,0)</f>
        <v>0</v>
      </c>
      <c r="I14" s="220">
        <f>VLOOKUP($D14,'Khung_CTĐT_CNTT_K30 (2024)'!$B$10:$L$96,'Ke hoach giảng dạy CNTT'!I$6,0)</f>
        <v>0</v>
      </c>
      <c r="J14" s="220">
        <f>VLOOKUP($D14,'Khung_CTĐT_CNTT_K30 (2024)'!$B$10:$L$96,'Ke hoach giảng dạy CNTT'!J$6,0)</f>
        <v>0</v>
      </c>
      <c r="K14" s="220" t="str">
        <f>VLOOKUP($D14,'Khung_CTĐT_CNTT_K30 (2024)'!$B$10:$L$96,'Ke hoach giảng dạy CNTT'!K$6,0)</f>
        <v>BB</v>
      </c>
      <c r="L14" s="222" t="str">
        <f>VLOOKUP($D14,'Khung_CTĐT_CNTT_K30 (2024)'!$B$10:$L$96,'Ke hoach giảng dạy CNTT'!L$6,0)</f>
        <v/>
      </c>
      <c r="M14" s="223" t="str">
        <f>VLOOKUP($D14,'Khung_CTĐT_CNTT_K30 (2024)'!$B$10:$L$96,'Ke hoach giảng dạy CNTT'!M$6,0)</f>
        <v/>
      </c>
      <c r="N14" s="218"/>
      <c r="O14" s="219"/>
      <c r="Q14" s="272">
        <f t="shared" si="0"/>
        <v>1</v>
      </c>
      <c r="R14" s="17" t="str">
        <f>IFERROR(VLOOKUP(D14,$D$9:D13,1,0),"")</f>
        <v/>
      </c>
    </row>
    <row r="15" spans="1:18" x14ac:dyDescent="0.3">
      <c r="A15" s="345"/>
      <c r="B15" s="220">
        <v>1</v>
      </c>
      <c r="C15" s="220">
        <v>1</v>
      </c>
      <c r="D15" s="220" t="s">
        <v>25</v>
      </c>
      <c r="E15" s="221" t="str">
        <f>VLOOKUP($D15,'Khung_CTĐT_CNTT_K30 (2024)'!$B$10:$L$96,'Ke hoach giảng dạy CNTT'!E$6,0)</f>
        <v>GDQP3: Quân sự chung</v>
      </c>
      <c r="F15" s="220">
        <f>VLOOKUP($D15,'Khung_CTĐT_CNTT_K30 (2024)'!$B$10:$L$96,'Ke hoach giảng dạy CNTT'!F$6,0)</f>
        <v>2</v>
      </c>
      <c r="G15" s="220">
        <f>VLOOKUP($D15,'Khung_CTĐT_CNTT_K30 (2024)'!$B$10:$L$96,'Ke hoach giảng dạy CNTT'!G$6,0)</f>
        <v>0</v>
      </c>
      <c r="H15" s="220">
        <f>VLOOKUP($D15,'Khung_CTĐT_CNTT_K30 (2024)'!$B$10:$L$96,'Ke hoach giảng dạy CNTT'!H$6,0)</f>
        <v>0</v>
      </c>
      <c r="I15" s="220">
        <f>VLOOKUP($D15,'Khung_CTĐT_CNTT_K30 (2024)'!$B$10:$L$96,'Ke hoach giảng dạy CNTT'!I$6,0)</f>
        <v>0</v>
      </c>
      <c r="J15" s="220">
        <f>VLOOKUP($D15,'Khung_CTĐT_CNTT_K30 (2024)'!$B$10:$L$96,'Ke hoach giảng dạy CNTT'!J$6,0)</f>
        <v>0</v>
      </c>
      <c r="K15" s="220" t="str">
        <f>VLOOKUP($D15,'Khung_CTĐT_CNTT_K30 (2024)'!$B$10:$L$96,'Ke hoach giảng dạy CNTT'!K$6,0)</f>
        <v>BB</v>
      </c>
      <c r="L15" s="222" t="str">
        <f>VLOOKUP($D15,'Khung_CTĐT_CNTT_K30 (2024)'!$B$10:$L$96,'Ke hoach giảng dạy CNTT'!L$6,0)</f>
        <v/>
      </c>
      <c r="M15" s="223" t="str">
        <f>VLOOKUP($D15,'Khung_CTĐT_CNTT_K30 (2024)'!$B$10:$L$96,'Ke hoach giảng dạy CNTT'!M$6,0)</f>
        <v/>
      </c>
      <c r="N15" s="218"/>
      <c r="O15" s="219"/>
      <c r="Q15" s="272">
        <f t="shared" si="0"/>
        <v>1</v>
      </c>
      <c r="R15" s="17" t="str">
        <f>IFERROR(VLOOKUP(D15,$D$9:D14,1,0),"")</f>
        <v/>
      </c>
    </row>
    <row r="16" spans="1:18" ht="27.6" x14ac:dyDescent="0.3">
      <c r="A16" s="345"/>
      <c r="B16" s="220">
        <v>1</v>
      </c>
      <c r="C16" s="220">
        <v>1</v>
      </c>
      <c r="D16" s="220" t="s">
        <v>26</v>
      </c>
      <c r="E16" s="221" t="str">
        <f>VLOOKUP($D16,'Khung_CTĐT_CNTT_K30 (2024)'!$B$10:$L$96,'Ke hoach giảng dạy CNTT'!E$6,0)</f>
        <v>GDQP4: Kỹ thuật chiến đấu bộ binh và chiến thuật</v>
      </c>
      <c r="F16" s="220">
        <f>VLOOKUP($D16,'Khung_CTĐT_CNTT_K30 (2024)'!$B$10:$L$96,'Ke hoach giảng dạy CNTT'!F$6,0)</f>
        <v>4</v>
      </c>
      <c r="G16" s="220">
        <f>VLOOKUP($D16,'Khung_CTĐT_CNTT_K30 (2024)'!$B$10:$L$96,'Ke hoach giảng dạy CNTT'!G$6,0)</f>
        <v>0</v>
      </c>
      <c r="H16" s="220">
        <f>VLOOKUP($D16,'Khung_CTĐT_CNTT_K30 (2024)'!$B$10:$L$96,'Ke hoach giảng dạy CNTT'!H$6,0)</f>
        <v>0</v>
      </c>
      <c r="I16" s="220">
        <f>VLOOKUP($D16,'Khung_CTĐT_CNTT_K30 (2024)'!$B$10:$L$96,'Ke hoach giảng dạy CNTT'!I$6,0)</f>
        <v>0</v>
      </c>
      <c r="J16" s="220">
        <f>VLOOKUP($D16,'Khung_CTĐT_CNTT_K30 (2024)'!$B$10:$L$96,'Ke hoach giảng dạy CNTT'!J$6,0)</f>
        <v>0</v>
      </c>
      <c r="K16" s="220" t="str">
        <f>VLOOKUP($D16,'Khung_CTĐT_CNTT_K30 (2024)'!$B$10:$L$96,'Ke hoach giảng dạy CNTT'!K$6,0)</f>
        <v>BB</v>
      </c>
      <c r="L16" s="222" t="str">
        <f>VLOOKUP($D16,'Khung_CTĐT_CNTT_K30 (2024)'!$B$10:$L$96,'Ke hoach giảng dạy CNTT'!L$6,0)</f>
        <v/>
      </c>
      <c r="M16" s="223" t="str">
        <f>VLOOKUP($D16,'Khung_CTĐT_CNTT_K30 (2024)'!$B$10:$L$96,'Ke hoach giảng dạy CNTT'!M$6,0)</f>
        <v/>
      </c>
      <c r="N16" s="218"/>
      <c r="O16" s="219"/>
      <c r="Q16" s="272">
        <f t="shared" si="0"/>
        <v>1</v>
      </c>
      <c r="R16" s="17" t="str">
        <f>IFERROR(VLOOKUP(D16,$D$9:D15,1,0),"")</f>
        <v/>
      </c>
    </row>
    <row r="17" spans="1:18" ht="17.399999999999999" thickBot="1" x14ac:dyDescent="0.35">
      <c r="A17" s="346"/>
      <c r="B17" s="224"/>
      <c r="C17" s="224"/>
      <c r="D17" s="224"/>
      <c r="E17" s="225"/>
      <c r="F17" s="224"/>
      <c r="G17" s="224"/>
      <c r="H17" s="224"/>
      <c r="I17" s="224"/>
      <c r="J17" s="224"/>
      <c r="K17" s="224"/>
      <c r="L17" s="226"/>
      <c r="M17" s="227"/>
      <c r="N17" s="218"/>
      <c r="O17" s="219"/>
      <c r="Q17" s="272">
        <f t="shared" si="0"/>
        <v>1</v>
      </c>
      <c r="R17" s="17" t="str">
        <f>IFERROR(VLOOKUP(D17,$D$9:D16,1,0),"")</f>
        <v/>
      </c>
    </row>
    <row r="18" spans="1:18" x14ac:dyDescent="0.3">
      <c r="A18" s="347" t="s">
        <v>27</v>
      </c>
      <c r="B18" s="228">
        <v>2</v>
      </c>
      <c r="C18" s="228">
        <v>1</v>
      </c>
      <c r="D18" s="228" t="s">
        <v>28</v>
      </c>
      <c r="E18" s="229" t="str">
        <f>VLOOKUP($D18,'Khung_CTĐT_CNTT_K30 (2024)'!$B$10:$L$96,'Ke hoach giảng dạy CNTT'!E$6,0)</f>
        <v>Triết học Mác-Lênin</v>
      </c>
      <c r="F18" s="228">
        <f>VLOOKUP($D18,'Khung_CTĐT_CNTT_K30 (2024)'!$B$10:$L$96,'Ke hoach giảng dạy CNTT'!F$6,0)</f>
        <v>3</v>
      </c>
      <c r="G18" s="228">
        <f>VLOOKUP($D18,'Khung_CTĐT_CNTT_K30 (2024)'!$B$10:$L$96,'Ke hoach giảng dạy CNTT'!G$6,0)</f>
        <v>45</v>
      </c>
      <c r="H18" s="228">
        <f>VLOOKUP($D18,'Khung_CTĐT_CNTT_K30 (2024)'!$B$10:$L$96,'Ke hoach giảng dạy CNTT'!H$6,0)</f>
        <v>0</v>
      </c>
      <c r="I18" s="228">
        <f>VLOOKUP($D18,'Khung_CTĐT_CNTT_K30 (2024)'!$B$10:$L$96,'Ke hoach giảng dạy CNTT'!I$6,0)</f>
        <v>0</v>
      </c>
      <c r="J18" s="228">
        <f>VLOOKUP($D18,'Khung_CTĐT_CNTT_K30 (2024)'!$B$10:$L$96,'Ke hoach giảng dạy CNTT'!J$6,0)</f>
        <v>0</v>
      </c>
      <c r="K18" s="228" t="str">
        <f>VLOOKUP($D18,'Khung_CTĐT_CNTT_K30 (2024)'!$B$10:$L$96,'Ke hoach giảng dạy CNTT'!K$6,0)</f>
        <v>BB</v>
      </c>
      <c r="L18" s="230" t="str">
        <f>VLOOKUP($D18,'Khung_CTĐT_CNTT_K30 (2024)'!$B$10:$L$96,'Ke hoach giảng dạy CNTT'!L$6,0)</f>
        <v>Không</v>
      </c>
      <c r="M18" s="231" t="str">
        <f>VLOOKUP($D18,'Khung_CTĐT_CNTT_K30 (2024)'!$B$10:$L$96,'Ke hoach giảng dạy CNTT'!M$6,0)</f>
        <v>Không</v>
      </c>
      <c r="N18" s="218">
        <f>SUM(F18:F22)</f>
        <v>16</v>
      </c>
      <c r="O18" s="219"/>
      <c r="P18" s="113">
        <f>P9+N18</f>
        <v>28</v>
      </c>
      <c r="Q18" s="272">
        <v>2</v>
      </c>
      <c r="R18" s="17" t="str">
        <f>IFERROR(VLOOKUP(D18,$D$9:D17,1,0),"")</f>
        <v/>
      </c>
    </row>
    <row r="19" spans="1:18" ht="27.6" x14ac:dyDescent="0.3">
      <c r="A19" s="345"/>
      <c r="B19" s="220">
        <v>2</v>
      </c>
      <c r="C19" s="220">
        <v>1</v>
      </c>
      <c r="D19" s="220" t="s">
        <v>29</v>
      </c>
      <c r="E19" s="221" t="str">
        <f>VLOOKUP($D19,'Khung_CTĐT_CNTT_K30 (2024)'!$B$10:$L$96,'Ke hoach giảng dạy CNTT'!E$6,0)</f>
        <v>Anh văn 2 (AV2)</v>
      </c>
      <c r="F19" s="220">
        <f>VLOOKUP($D19,'Khung_CTĐT_CNTT_K30 (2024)'!$B$10:$L$96,'Ke hoach giảng dạy CNTT'!F$6,0)</f>
        <v>3</v>
      </c>
      <c r="G19" s="220">
        <f>VLOOKUP($D19,'Khung_CTĐT_CNTT_K30 (2024)'!$B$10:$L$96,'Ke hoach giảng dạy CNTT'!G$6,0)</f>
        <v>30</v>
      </c>
      <c r="H19" s="220">
        <f>VLOOKUP($D19,'Khung_CTĐT_CNTT_K30 (2024)'!$B$10:$L$96,'Ke hoach giảng dạy CNTT'!H$6,0)</f>
        <v>30</v>
      </c>
      <c r="I19" s="220">
        <f>VLOOKUP($D19,'Khung_CTĐT_CNTT_K30 (2024)'!$B$10:$L$96,'Ke hoach giảng dạy CNTT'!I$6,0)</f>
        <v>0</v>
      </c>
      <c r="J19" s="220">
        <f>VLOOKUP($D19,'Khung_CTĐT_CNTT_K30 (2024)'!$B$10:$L$96,'Ke hoach giảng dạy CNTT'!J$6,0)</f>
        <v>0</v>
      </c>
      <c r="K19" s="220" t="str">
        <f>VLOOKUP($D19,'Khung_CTĐT_CNTT_K30 (2024)'!$B$10:$L$96,'Ke hoach giảng dạy CNTT'!K$6,0)</f>
        <v>BB</v>
      </c>
      <c r="L19" s="222" t="str">
        <f>VLOOKUP($D19,'Khung_CTĐT_CNTT_K30 (2024)'!$B$10:$L$96,'Ke hoach giảng dạy CNTT'!L$6,0)</f>
        <v>[71ENG110013]Anh văn 1 (AV1)</v>
      </c>
      <c r="M19" s="223" t="str">
        <f>VLOOKUP($D19,'Khung_CTĐT_CNTT_K30 (2024)'!$B$10:$L$96,'Ke hoach giảng dạy CNTT'!M$6,0)</f>
        <v xml:space="preserve">Không </v>
      </c>
      <c r="N19" s="218"/>
      <c r="O19" s="219"/>
      <c r="Q19" s="272">
        <f t="shared" ref="Q19:Q23" si="1">Q18</f>
        <v>2</v>
      </c>
      <c r="R19" s="17" t="str">
        <f>IFERROR(VLOOKUP(D19,$D$9:D18,1,0),"")</f>
        <v/>
      </c>
    </row>
    <row r="20" spans="1:18" x14ac:dyDescent="0.3">
      <c r="A20" s="345"/>
      <c r="B20" s="220">
        <v>2</v>
      </c>
      <c r="C20" s="220">
        <v>1</v>
      </c>
      <c r="D20" s="220" t="s">
        <v>30</v>
      </c>
      <c r="E20" s="221" t="str">
        <f>VLOOKUP($D20,'Khung_CTĐT_CNTT_K30 (2024)'!$B$10:$L$96,'Ke hoach giảng dạy CNTT'!E$6,0)</f>
        <v>Toán cao cấp và ứng dụng</v>
      </c>
      <c r="F20" s="220">
        <f>VLOOKUP($D20,'Khung_CTĐT_CNTT_K30 (2024)'!$B$10:$L$96,'Ke hoach giảng dạy CNTT'!F$6,0)</f>
        <v>4</v>
      </c>
      <c r="G20" s="220">
        <f>VLOOKUP($D20,'Khung_CTĐT_CNTT_K30 (2024)'!$B$10:$L$96,'Ke hoach giảng dạy CNTT'!G$6,0)</f>
        <v>45</v>
      </c>
      <c r="H20" s="220">
        <f>VLOOKUP($D20,'Khung_CTĐT_CNTT_K30 (2024)'!$B$10:$L$96,'Ke hoach giảng dạy CNTT'!H$6,0)</f>
        <v>30</v>
      </c>
      <c r="I20" s="220">
        <f>VLOOKUP($D20,'Khung_CTĐT_CNTT_K30 (2024)'!$B$10:$L$96,'Ke hoach giảng dạy CNTT'!I$6,0)</f>
        <v>0</v>
      </c>
      <c r="J20" s="220">
        <f>VLOOKUP($D20,'Khung_CTĐT_CNTT_K30 (2024)'!$B$10:$L$96,'Ke hoach giảng dạy CNTT'!J$6,0)</f>
        <v>0</v>
      </c>
      <c r="K20" s="220" t="str">
        <f>VLOOKUP($D20,'Khung_CTĐT_CNTT_K30 (2024)'!$B$10:$L$96,'Ke hoach giảng dạy CNTT'!K$6,0)</f>
        <v>BB</v>
      </c>
      <c r="L20" s="222" t="str">
        <f>VLOOKUP($D20,'Khung_CTĐT_CNTT_K30 (2024)'!$B$10:$L$96,'Ke hoach giảng dạy CNTT'!L$6,0)</f>
        <v>Không</v>
      </c>
      <c r="M20" s="223" t="str">
        <f>VLOOKUP($D20,'Khung_CTĐT_CNTT_K30 (2024)'!$B$10:$L$96,'Ke hoach giảng dạy CNTT'!M$6,0)</f>
        <v xml:space="preserve">Không </v>
      </c>
      <c r="N20" s="218"/>
      <c r="O20" s="219"/>
      <c r="Q20" s="272">
        <f t="shared" si="1"/>
        <v>2</v>
      </c>
      <c r="R20" s="17" t="str">
        <f>IFERROR(VLOOKUP(D20,$D$9:D19,1,0),"")</f>
        <v/>
      </c>
    </row>
    <row r="21" spans="1:18" ht="27.6" x14ac:dyDescent="0.3">
      <c r="A21" s="345"/>
      <c r="B21" s="220">
        <v>2</v>
      </c>
      <c r="C21" s="220">
        <v>1</v>
      </c>
      <c r="D21" s="220" t="s">
        <v>31</v>
      </c>
      <c r="E21" s="221" t="str">
        <f>VLOOKUP($D21,'Khung_CTĐT_CNTT_K30 (2024)'!$B$10:$L$96,'Ke hoach giảng dạy CNTT'!E$6,0)</f>
        <v xml:space="preserve">Nhập môn Mạng máy tính và điện toán đám mây </v>
      </c>
      <c r="F21" s="220">
        <f>VLOOKUP($D21,'Khung_CTĐT_CNTT_K30 (2024)'!$B$10:$L$96,'Ke hoach giảng dạy CNTT'!F$6,0)</f>
        <v>3</v>
      </c>
      <c r="G21" s="220">
        <f>VLOOKUP($D21,'Khung_CTĐT_CNTT_K30 (2024)'!$B$10:$L$96,'Ke hoach giảng dạy CNTT'!G$6,0)</f>
        <v>30</v>
      </c>
      <c r="H21" s="220">
        <f>VLOOKUP($D21,'Khung_CTĐT_CNTT_K30 (2024)'!$B$10:$L$96,'Ke hoach giảng dạy CNTT'!H$6,0)</f>
        <v>30</v>
      </c>
      <c r="I21" s="220">
        <f>VLOOKUP($D21,'Khung_CTĐT_CNTT_K30 (2024)'!$B$10:$L$96,'Ke hoach giảng dạy CNTT'!I$6,0)</f>
        <v>0</v>
      </c>
      <c r="J21" s="220">
        <f>VLOOKUP($D21,'Khung_CTĐT_CNTT_K30 (2024)'!$B$10:$L$96,'Ke hoach giảng dạy CNTT'!J$6,0)</f>
        <v>0</v>
      </c>
      <c r="K21" s="220" t="str">
        <f>VLOOKUP($D21,'Khung_CTĐT_CNTT_K30 (2024)'!$B$10:$L$96,'Ke hoach giảng dạy CNTT'!K$6,0)</f>
        <v>BB</v>
      </c>
      <c r="L21" s="222" t="str">
        <f>VLOOKUP($D21,'Khung_CTĐT_CNTT_K30 (2024)'!$B$10:$L$96,'Ke hoach giảng dạy CNTT'!L$6,0)</f>
        <v>Không</v>
      </c>
      <c r="M21" s="223" t="str">
        <f>VLOOKUP($D21,'Khung_CTĐT_CNTT_K30 (2024)'!$B$10:$L$96,'Ke hoach giảng dạy CNTT'!M$6,0)</f>
        <v>Không</v>
      </c>
      <c r="N21" s="218"/>
      <c r="O21" s="219"/>
      <c r="Q21" s="272">
        <f t="shared" si="1"/>
        <v>2</v>
      </c>
      <c r="R21" s="17" t="str">
        <f>IFERROR(VLOOKUP(D21,$D$9:D20,1,0),"")</f>
        <v/>
      </c>
    </row>
    <row r="22" spans="1:18" x14ac:dyDescent="0.3">
      <c r="A22" s="345"/>
      <c r="B22" s="220">
        <v>2</v>
      </c>
      <c r="C22" s="220">
        <v>1</v>
      </c>
      <c r="D22" s="220" t="s">
        <v>32</v>
      </c>
      <c r="E22" s="221" t="str">
        <f>VLOOKUP($D22,'Khung_CTĐT_CNTT_K30 (2024)'!$B$10:$L$96,'Ke hoach giảng dạy CNTT'!E$6,0)</f>
        <v xml:space="preserve">Kỹ thuật lập trình </v>
      </c>
      <c r="F22" s="220">
        <f>VLOOKUP($D22,'Khung_CTĐT_CNTT_K30 (2024)'!$B$10:$L$96,'Ke hoach giảng dạy CNTT'!F$6,0)</f>
        <v>3</v>
      </c>
      <c r="G22" s="220">
        <f>VLOOKUP($D22,'Khung_CTĐT_CNTT_K30 (2024)'!$B$10:$L$96,'Ke hoach giảng dạy CNTT'!G$6,0)</f>
        <v>30</v>
      </c>
      <c r="H22" s="220">
        <f>VLOOKUP($D22,'Khung_CTĐT_CNTT_K30 (2024)'!$B$10:$L$96,'Ke hoach giảng dạy CNTT'!H$6,0)</f>
        <v>30</v>
      </c>
      <c r="I22" s="220">
        <f>VLOOKUP($D22,'Khung_CTĐT_CNTT_K30 (2024)'!$B$10:$L$96,'Ke hoach giảng dạy CNTT'!I$6,0)</f>
        <v>0</v>
      </c>
      <c r="J22" s="220">
        <f>VLOOKUP($D22,'Khung_CTĐT_CNTT_K30 (2024)'!$B$10:$L$96,'Ke hoach giảng dạy CNTT'!J$6,0)</f>
        <v>0</v>
      </c>
      <c r="K22" s="220" t="str">
        <f>VLOOKUP($D22,'Khung_CTĐT_CNTT_K30 (2024)'!$B$10:$L$96,'Ke hoach giảng dạy CNTT'!K$6,0)</f>
        <v>BB</v>
      </c>
      <c r="L22" s="222" t="str">
        <f>VLOOKUP($D22,'Khung_CTĐT_CNTT_K30 (2024)'!$B$10:$L$96,'Ke hoach giảng dạy CNTT'!L$6,0)</f>
        <v>Không</v>
      </c>
      <c r="M22" s="223" t="str">
        <f>VLOOKUP($D22,'Khung_CTĐT_CNTT_K30 (2024)'!$B$10:$L$96,'Ke hoach giảng dạy CNTT'!M$6,0)</f>
        <v>[71ITBS10203]Cơ sở lập trình</v>
      </c>
      <c r="N22" s="218"/>
      <c r="O22" s="219"/>
      <c r="Q22" s="272">
        <f t="shared" si="1"/>
        <v>2</v>
      </c>
      <c r="R22" s="17" t="str">
        <f>IFERROR(VLOOKUP(D22,$D$9:D21,1,0),"")</f>
        <v/>
      </c>
    </row>
    <row r="23" spans="1:18" ht="17.399999999999999" thickBot="1" x14ac:dyDescent="0.35">
      <c r="A23" s="345"/>
      <c r="B23" s="232"/>
      <c r="C23" s="232"/>
      <c r="D23" s="232"/>
      <c r="E23" s="233"/>
      <c r="F23" s="232"/>
      <c r="G23" s="232"/>
      <c r="H23" s="232"/>
      <c r="I23" s="232"/>
      <c r="J23" s="232"/>
      <c r="K23" s="232"/>
      <c r="L23" s="234"/>
      <c r="M23" s="235"/>
      <c r="N23" s="218"/>
      <c r="O23" s="219"/>
      <c r="Q23" s="272">
        <f t="shared" si="1"/>
        <v>2</v>
      </c>
      <c r="R23" s="17" t="str">
        <f>IFERROR(VLOOKUP(D23,$D$9:D22,1,0),"")</f>
        <v/>
      </c>
    </row>
    <row r="24" spans="1:18" x14ac:dyDescent="0.3">
      <c r="A24" s="344" t="s">
        <v>33</v>
      </c>
      <c r="B24" s="214">
        <v>3</v>
      </c>
      <c r="C24" s="214">
        <v>1</v>
      </c>
      <c r="D24" s="214" t="s">
        <v>34</v>
      </c>
      <c r="E24" s="215" t="str">
        <f>VLOOKUP($D24,'Khung_CTĐT_CNTT_K30 (2024)'!$B$10:$L$96,'Ke hoach giảng dạy CNTT'!E$6,0)</f>
        <v>Kinh tế chính trị Mác-Lênin</v>
      </c>
      <c r="F24" s="214">
        <f>VLOOKUP($D24,'Khung_CTĐT_CNTT_K30 (2024)'!$B$10:$L$96,'Ke hoach giảng dạy CNTT'!F$6,0)</f>
        <v>2</v>
      </c>
      <c r="G24" s="214">
        <f>VLOOKUP($D24,'Khung_CTĐT_CNTT_K30 (2024)'!$B$10:$L$96,'Ke hoach giảng dạy CNTT'!G$6,0)</f>
        <v>30</v>
      </c>
      <c r="H24" s="214">
        <f>VLOOKUP($D24,'Khung_CTĐT_CNTT_K30 (2024)'!$B$10:$L$96,'Ke hoach giảng dạy CNTT'!H$6,0)</f>
        <v>0</v>
      </c>
      <c r="I24" s="214">
        <f>VLOOKUP($D24,'Khung_CTĐT_CNTT_K30 (2024)'!$B$10:$L$96,'Ke hoach giảng dạy CNTT'!I$6,0)</f>
        <v>0</v>
      </c>
      <c r="J24" s="214">
        <f>VLOOKUP($D24,'Khung_CTĐT_CNTT_K30 (2024)'!$B$10:$L$96,'Ke hoach giảng dạy CNTT'!J$6,0)</f>
        <v>0</v>
      </c>
      <c r="K24" s="214" t="str">
        <f>VLOOKUP($D24,'Khung_CTĐT_CNTT_K30 (2024)'!$B$10:$L$96,'Ke hoach giảng dạy CNTT'!K$6,0)</f>
        <v>BB</v>
      </c>
      <c r="L24" s="216" t="str">
        <f>VLOOKUP($D24,'Khung_CTĐT_CNTT_K30 (2024)'!$B$10:$L$96,'Ke hoach giảng dạy CNTT'!L$6,0)</f>
        <v>Không</v>
      </c>
      <c r="M24" s="217" t="str">
        <f>VLOOKUP($D24,'Khung_CTĐT_CNTT_K30 (2024)'!$B$10:$L$96,'Ke hoach giảng dạy CNTT'!M$6,0)</f>
        <v>[71POLP10013]Triết học Mác-Lênin</v>
      </c>
      <c r="N24" s="218">
        <f>SUM(F24:F28)</f>
        <v>14</v>
      </c>
      <c r="O24" s="219"/>
      <c r="P24" s="113">
        <f>P18+N24</f>
        <v>42</v>
      </c>
      <c r="Q24" s="272">
        <v>3</v>
      </c>
      <c r="R24" s="17" t="str">
        <f>IFERROR(VLOOKUP(D24,$D$9:D23,1,0),"")</f>
        <v/>
      </c>
    </row>
    <row r="25" spans="1:18" ht="27.6" x14ac:dyDescent="0.3">
      <c r="A25" s="345"/>
      <c r="B25" s="220">
        <v>3</v>
      </c>
      <c r="C25" s="220">
        <v>1</v>
      </c>
      <c r="D25" s="220" t="s">
        <v>35</v>
      </c>
      <c r="E25" s="221" t="str">
        <f>VLOOKUP($D25,'Khung_CTĐT_CNTT_K30 (2024)'!$B$10:$L$96,'Ke hoach giảng dạy CNTT'!E$6,0)</f>
        <v>Anh văn 3 (AV3)</v>
      </c>
      <c r="F25" s="220">
        <f>VLOOKUP($D25,'Khung_CTĐT_CNTT_K30 (2024)'!$B$10:$L$96,'Ke hoach giảng dạy CNTT'!F$6,0)</f>
        <v>3</v>
      </c>
      <c r="G25" s="220">
        <f>VLOOKUP($D25,'Khung_CTĐT_CNTT_K30 (2024)'!$B$10:$L$96,'Ke hoach giảng dạy CNTT'!G$6,0)</f>
        <v>30</v>
      </c>
      <c r="H25" s="220">
        <f>VLOOKUP($D25,'Khung_CTĐT_CNTT_K30 (2024)'!$B$10:$L$96,'Ke hoach giảng dạy CNTT'!H$6,0)</f>
        <v>30</v>
      </c>
      <c r="I25" s="220">
        <f>VLOOKUP($D25,'Khung_CTĐT_CNTT_K30 (2024)'!$B$10:$L$96,'Ke hoach giảng dạy CNTT'!I$6,0)</f>
        <v>0</v>
      </c>
      <c r="J25" s="220">
        <f>VLOOKUP($D25,'Khung_CTĐT_CNTT_K30 (2024)'!$B$10:$L$96,'Ke hoach giảng dạy CNTT'!J$6,0)</f>
        <v>0</v>
      </c>
      <c r="K25" s="220" t="str">
        <f>VLOOKUP($D25,'Khung_CTĐT_CNTT_K30 (2024)'!$B$10:$L$96,'Ke hoach giảng dạy CNTT'!K$6,0)</f>
        <v>BB</v>
      </c>
      <c r="L25" s="222" t="str">
        <f>VLOOKUP($D25,'Khung_CTĐT_CNTT_K30 (2024)'!$B$10:$L$96,'Ke hoach giảng dạy CNTT'!L$6,0)</f>
        <v>[71ENG210023]Anh văn 2 (AV2)</v>
      </c>
      <c r="M25" s="223" t="str">
        <f>VLOOKUP($D25,'Khung_CTĐT_CNTT_K30 (2024)'!$B$10:$L$96,'Ke hoach giảng dạy CNTT'!M$6,0)</f>
        <v xml:space="preserve">Không </v>
      </c>
      <c r="N25" s="218"/>
      <c r="O25" s="219"/>
      <c r="Q25" s="272">
        <f t="shared" ref="Q25:Q29" si="2">Q24</f>
        <v>3</v>
      </c>
      <c r="R25" s="17" t="str">
        <f>IFERROR(VLOOKUP(D25,$D$9:D24,1,0),"")</f>
        <v/>
      </c>
    </row>
    <row r="26" spans="1:18" ht="20.399999999999999" customHeight="1" x14ac:dyDescent="0.3">
      <c r="A26" s="345"/>
      <c r="B26" s="220">
        <v>3</v>
      </c>
      <c r="C26" s="220">
        <v>1</v>
      </c>
      <c r="D26" s="220" t="s">
        <v>36</v>
      </c>
      <c r="E26" s="221" t="str">
        <f>VLOOKUP($D26,'Khung_CTĐT_CNTT_K30 (2024)'!$B$10:$L$96,'Ke hoach giảng dạy CNTT'!E$6,0)</f>
        <v xml:space="preserve">Cơ sở dữ liệu </v>
      </c>
      <c r="F26" s="220">
        <f>VLOOKUP($D26,'Khung_CTĐT_CNTT_K30 (2024)'!$B$10:$L$96,'Ke hoach giảng dạy CNTT'!F$6,0)</f>
        <v>3</v>
      </c>
      <c r="G26" s="220">
        <f>VLOOKUP($D26,'Khung_CTĐT_CNTT_K30 (2024)'!$B$10:$L$96,'Ke hoach giảng dạy CNTT'!G$6,0)</f>
        <v>30</v>
      </c>
      <c r="H26" s="220">
        <f>VLOOKUP($D26,'Khung_CTĐT_CNTT_K30 (2024)'!$B$10:$L$96,'Ke hoach giảng dạy CNTT'!H$6,0)</f>
        <v>30</v>
      </c>
      <c r="I26" s="220">
        <f>VLOOKUP($D26,'Khung_CTĐT_CNTT_K30 (2024)'!$B$10:$L$96,'Ke hoach giảng dạy CNTT'!I$6,0)</f>
        <v>0</v>
      </c>
      <c r="J26" s="220">
        <f>VLOOKUP($D26,'Khung_CTĐT_CNTT_K30 (2024)'!$B$10:$L$96,'Ke hoach giảng dạy CNTT'!J$6,0)</f>
        <v>0</v>
      </c>
      <c r="K26" s="220" t="str">
        <f>VLOOKUP($D26,'Khung_CTĐT_CNTT_K30 (2024)'!$B$10:$L$96,'Ke hoach giảng dạy CNTT'!K$6,0)</f>
        <v>BB</v>
      </c>
      <c r="L26" s="222" t="str">
        <f>VLOOKUP($D26,'Khung_CTĐT_CNTT_K30 (2024)'!$B$10:$L$96,'Ke hoach giảng dạy CNTT'!L$6,0)</f>
        <v>Không</v>
      </c>
      <c r="M26" s="223" t="str">
        <f>VLOOKUP($D26,'Khung_CTĐT_CNTT_K30 (2024)'!$B$10:$L$96,'Ke hoach giảng dạy CNTT'!M$6,0)</f>
        <v>Không</v>
      </c>
      <c r="N26" s="218"/>
      <c r="O26" s="219"/>
      <c r="Q26" s="272">
        <f t="shared" si="2"/>
        <v>3</v>
      </c>
      <c r="R26" s="17" t="str">
        <f>IFERROR(VLOOKUP(D26,$D$9:D25,1,0),"")</f>
        <v/>
      </c>
    </row>
    <row r="27" spans="1:18" x14ac:dyDescent="0.3">
      <c r="A27" s="345"/>
      <c r="B27" s="220">
        <v>3</v>
      </c>
      <c r="C27" s="220">
        <v>1</v>
      </c>
      <c r="D27" s="220" t="s">
        <v>37</v>
      </c>
      <c r="E27" s="221" t="str">
        <f>VLOOKUP($D27,'Khung_CTĐT_CNTT_K30 (2024)'!$B$10:$L$96,'Ke hoach giảng dạy CNTT'!E$6,0)</f>
        <v xml:space="preserve">Cấu trúc dữ liệu và giải thuật </v>
      </c>
      <c r="F27" s="220">
        <f>VLOOKUP($D27,'Khung_CTĐT_CNTT_K30 (2024)'!$B$10:$L$96,'Ke hoach giảng dạy CNTT'!F$6,0)</f>
        <v>3</v>
      </c>
      <c r="G27" s="220">
        <f>VLOOKUP($D27,'Khung_CTĐT_CNTT_K30 (2024)'!$B$10:$L$96,'Ke hoach giảng dạy CNTT'!G$6,0)</f>
        <v>30</v>
      </c>
      <c r="H27" s="220">
        <f>VLOOKUP($D27,'Khung_CTĐT_CNTT_K30 (2024)'!$B$10:$L$96,'Ke hoach giảng dạy CNTT'!H$6,0)</f>
        <v>30</v>
      </c>
      <c r="I27" s="220">
        <f>VLOOKUP($D27,'Khung_CTĐT_CNTT_K30 (2024)'!$B$10:$L$96,'Ke hoach giảng dạy CNTT'!I$6,0)</f>
        <v>0</v>
      </c>
      <c r="J27" s="220">
        <f>VLOOKUP($D27,'Khung_CTĐT_CNTT_K30 (2024)'!$B$10:$L$96,'Ke hoach giảng dạy CNTT'!J$6,0)</f>
        <v>0</v>
      </c>
      <c r="K27" s="220" t="str">
        <f>VLOOKUP($D27,'Khung_CTĐT_CNTT_K30 (2024)'!$B$10:$L$96,'Ke hoach giảng dạy CNTT'!K$6,0)</f>
        <v>BB</v>
      </c>
      <c r="L27" s="222" t="str">
        <f>VLOOKUP($D27,'Khung_CTĐT_CNTT_K30 (2024)'!$B$10:$L$96,'Ke hoach giảng dạy CNTT'!L$6,0)</f>
        <v>Không</v>
      </c>
      <c r="M27" s="223" t="str">
        <f>VLOOKUP($D27,'Khung_CTĐT_CNTT_K30 (2024)'!$B$10:$L$96,'Ke hoach giảng dạy CNTT'!M$6,0)</f>
        <v>[71ITBS10203]Cơ sở lập trình</v>
      </c>
      <c r="N27" s="218"/>
      <c r="O27" s="219"/>
      <c r="Q27" s="272">
        <f t="shared" si="2"/>
        <v>3</v>
      </c>
      <c r="R27" s="17" t="str">
        <f>IFERROR(VLOOKUP(D27,$D$9:D26,1,0),"")</f>
        <v/>
      </c>
    </row>
    <row r="28" spans="1:18" x14ac:dyDescent="0.3">
      <c r="A28" s="345"/>
      <c r="B28" s="220">
        <v>3</v>
      </c>
      <c r="C28" s="220">
        <v>1</v>
      </c>
      <c r="D28" s="220" t="s">
        <v>38</v>
      </c>
      <c r="E28" s="221" t="str">
        <f>VLOOKUP($D28,'Khung_CTĐT_CNTT_K30 (2024)'!$B$10:$L$96,'Ke hoach giảng dạy CNTT'!E$6,0)</f>
        <v>Đại số tuyến tính và ứng dụng</v>
      </c>
      <c r="F28" s="220">
        <f>VLOOKUP($D28,'Khung_CTĐT_CNTT_K30 (2024)'!$B$10:$L$96,'Ke hoach giảng dạy CNTT'!F$6,0)</f>
        <v>3</v>
      </c>
      <c r="G28" s="220">
        <f>VLOOKUP($D28,'Khung_CTĐT_CNTT_K30 (2024)'!$B$10:$L$96,'Ke hoach giảng dạy CNTT'!G$6,0)</f>
        <v>30</v>
      </c>
      <c r="H28" s="220">
        <f>VLOOKUP($D28,'Khung_CTĐT_CNTT_K30 (2024)'!$B$10:$L$96,'Ke hoach giảng dạy CNTT'!H$6,0)</f>
        <v>30</v>
      </c>
      <c r="I28" s="220">
        <f>VLOOKUP($D28,'Khung_CTĐT_CNTT_K30 (2024)'!$B$10:$L$96,'Ke hoach giảng dạy CNTT'!I$6,0)</f>
        <v>0</v>
      </c>
      <c r="J28" s="220">
        <f>VLOOKUP($D28,'Khung_CTĐT_CNTT_K30 (2024)'!$B$10:$L$96,'Ke hoach giảng dạy CNTT'!J$6,0)</f>
        <v>0</v>
      </c>
      <c r="K28" s="220" t="str">
        <f>VLOOKUP($D28,'Khung_CTĐT_CNTT_K30 (2024)'!$B$10:$L$96,'Ke hoach giảng dạy CNTT'!K$6,0)</f>
        <v>BB</v>
      </c>
      <c r="L28" s="222" t="str">
        <f>VLOOKUP($D28,'Khung_CTĐT_CNTT_K30 (2024)'!$B$10:$L$96,'Ke hoach giảng dạy CNTT'!L$6,0)</f>
        <v>Không</v>
      </c>
      <c r="M28" s="223" t="str">
        <f>VLOOKUP($D28,'Khung_CTĐT_CNTT_K30 (2024)'!$B$10:$L$96,'Ke hoach giảng dạy CNTT'!M$6,0)</f>
        <v xml:space="preserve">Không </v>
      </c>
      <c r="N28" s="218"/>
      <c r="O28" s="219"/>
      <c r="Q28" s="272">
        <f t="shared" si="2"/>
        <v>3</v>
      </c>
      <c r="R28" s="17" t="str">
        <f>IFERROR(VLOOKUP(D28,$D$9:D27,1,0),"")</f>
        <v/>
      </c>
    </row>
    <row r="29" spans="1:18" ht="17.399999999999999" thickBot="1" x14ac:dyDescent="0.35">
      <c r="A29" s="346"/>
      <c r="B29" s="34"/>
      <c r="C29" s="34"/>
      <c r="D29" s="35"/>
      <c r="E29" s="57"/>
      <c r="F29" s="58"/>
      <c r="G29" s="58"/>
      <c r="H29" s="58"/>
      <c r="I29" s="58"/>
      <c r="J29" s="58"/>
      <c r="K29" s="58"/>
      <c r="L29" s="59"/>
      <c r="M29" s="60"/>
      <c r="N29" s="115"/>
      <c r="O29" s="96"/>
      <c r="Q29" s="272">
        <f t="shared" si="2"/>
        <v>3</v>
      </c>
      <c r="R29" s="17" t="str">
        <f>IFERROR(VLOOKUP(D29,$D$9:D28,1,0),"")</f>
        <v/>
      </c>
    </row>
    <row r="30" spans="1:18" x14ac:dyDescent="0.3">
      <c r="A30" s="350" t="s">
        <v>39</v>
      </c>
      <c r="B30" s="296">
        <v>1</v>
      </c>
      <c r="C30" s="296">
        <v>2</v>
      </c>
      <c r="D30" s="296"/>
      <c r="E30" s="297"/>
      <c r="F30" s="296"/>
      <c r="G30" s="296"/>
      <c r="H30" s="296"/>
      <c r="I30" s="296"/>
      <c r="J30" s="296"/>
      <c r="K30" s="296"/>
      <c r="L30" s="298"/>
      <c r="M30" s="299"/>
      <c r="N30" s="300">
        <f>SUM(F30:F34)</f>
        <v>13</v>
      </c>
      <c r="O30" s="301"/>
      <c r="P30" s="113">
        <f>P24+N30</f>
        <v>55</v>
      </c>
      <c r="Q30" s="272">
        <v>4</v>
      </c>
      <c r="R30" s="17" t="str">
        <f>IFERROR(VLOOKUP(D30,$D$9:D29,1,0),"")</f>
        <v/>
      </c>
    </row>
    <row r="31" spans="1:18" ht="27.6" x14ac:dyDescent="0.3">
      <c r="A31" s="349"/>
      <c r="B31" s="302">
        <v>1</v>
      </c>
      <c r="C31" s="302">
        <v>2</v>
      </c>
      <c r="D31" s="302" t="s">
        <v>40</v>
      </c>
      <c r="E31" s="303" t="str">
        <f>VLOOKUP($D31,'Khung_CTĐT_CNTT_K30 (2024)'!$B$10:$L$96,'Ke hoach giảng dạy CNTT'!E$6,0)</f>
        <v>Anh văn 4 (AV4)</v>
      </c>
      <c r="F31" s="302">
        <f>VLOOKUP($D31,'Khung_CTĐT_CNTT_K30 (2024)'!$B$10:$L$96,'Ke hoach giảng dạy CNTT'!F$6,0)</f>
        <v>3</v>
      </c>
      <c r="G31" s="302">
        <f>VLOOKUP($D31,'Khung_CTĐT_CNTT_K30 (2024)'!$B$10:$L$96,'Ke hoach giảng dạy CNTT'!G$6,0)</f>
        <v>30</v>
      </c>
      <c r="H31" s="302">
        <f>VLOOKUP($D31,'Khung_CTĐT_CNTT_K30 (2024)'!$B$10:$L$96,'Ke hoach giảng dạy CNTT'!H$6,0)</f>
        <v>30</v>
      </c>
      <c r="I31" s="302">
        <f>VLOOKUP($D31,'Khung_CTĐT_CNTT_K30 (2024)'!$B$10:$L$96,'Ke hoach giảng dạy CNTT'!I$6,0)</f>
        <v>0</v>
      </c>
      <c r="J31" s="302">
        <f>VLOOKUP($D31,'Khung_CTĐT_CNTT_K30 (2024)'!$B$10:$L$96,'Ke hoach giảng dạy CNTT'!J$6,0)</f>
        <v>0</v>
      </c>
      <c r="K31" s="302" t="str">
        <f>VLOOKUP($D31,'Khung_CTĐT_CNTT_K30 (2024)'!$B$10:$L$96,'Ke hoach giảng dạy CNTT'!K$6,0)</f>
        <v>BB</v>
      </c>
      <c r="L31" s="304" t="str">
        <f>VLOOKUP($D31,'Khung_CTĐT_CNTT_K30 (2024)'!$B$10:$L$96,'Ke hoach giảng dạy CNTT'!L$6,0)</f>
        <v>[71ENG310033]Anh văn 3 (AV3)</v>
      </c>
      <c r="M31" s="305" t="str">
        <f>VLOOKUP($D31,'Khung_CTĐT_CNTT_K30 (2024)'!$B$10:$L$96,'Ke hoach giảng dạy CNTT'!M$6,0)</f>
        <v xml:space="preserve">Không </v>
      </c>
      <c r="N31" s="300"/>
      <c r="O31" s="301"/>
      <c r="Q31" s="272">
        <f t="shared" ref="Q31:Q34" si="3">Q30</f>
        <v>4</v>
      </c>
      <c r="R31" s="17" t="str">
        <f>IFERROR(VLOOKUP(D31,$D$9:D30,1,0),"")</f>
        <v/>
      </c>
    </row>
    <row r="32" spans="1:18" x14ac:dyDescent="0.3">
      <c r="A32" s="349"/>
      <c r="B32" s="302">
        <v>1</v>
      </c>
      <c r="C32" s="302">
        <v>2</v>
      </c>
      <c r="D32" s="302" t="s">
        <v>607</v>
      </c>
      <c r="E32" s="303" t="str">
        <f>VLOOKUP($D32,'Khung_CTĐT_CNTT_K30 (2024)'!$B$10:$L$96,'Ke hoach giảng dạy CNTT'!E$6,0)</f>
        <v xml:space="preserve">Toán rời rạc </v>
      </c>
      <c r="F32" s="302">
        <f>VLOOKUP($D32,'Khung_CTĐT_CNTT_K30 (2024)'!$B$10:$L$96,'Ke hoach giảng dạy CNTT'!F$6,0)</f>
        <v>4</v>
      </c>
      <c r="G32" s="302">
        <f>VLOOKUP($D32,'Khung_CTĐT_CNTT_K30 (2024)'!$B$10:$L$96,'Ke hoach giảng dạy CNTT'!G$6,0)</f>
        <v>45</v>
      </c>
      <c r="H32" s="302">
        <f>VLOOKUP($D32,'Khung_CTĐT_CNTT_K30 (2024)'!$B$10:$L$96,'Ke hoach giảng dạy CNTT'!H$6,0)</f>
        <v>30</v>
      </c>
      <c r="I32" s="302">
        <f>VLOOKUP($D32,'Khung_CTĐT_CNTT_K30 (2024)'!$B$10:$L$96,'Ke hoach giảng dạy CNTT'!I$6,0)</f>
        <v>0</v>
      </c>
      <c r="J32" s="302">
        <f>VLOOKUP($D32,'Khung_CTĐT_CNTT_K30 (2024)'!$B$10:$L$96,'Ke hoach giảng dạy CNTT'!J$6,0)</f>
        <v>0</v>
      </c>
      <c r="K32" s="302" t="str">
        <f>VLOOKUP($D32,'Khung_CTĐT_CNTT_K30 (2024)'!$B$10:$L$96,'Ke hoach giảng dạy CNTT'!K$6,0)</f>
        <v>BB</v>
      </c>
      <c r="L32" s="304" t="str">
        <f>VLOOKUP($D32,'Khung_CTĐT_CNTT_K30 (2024)'!$B$10:$L$96,'Ke hoach giảng dạy CNTT'!L$6,0)</f>
        <v>Không</v>
      </c>
      <c r="M32" s="305" t="str">
        <f>VLOOKUP($D32,'Khung_CTĐT_CNTT_K30 (2024)'!$B$10:$L$96,'Ke hoach giảng dạy CNTT'!M$6,0)</f>
        <v>[71ITMA10104]Toán cao cấp và ứng dụng</v>
      </c>
      <c r="N32" s="300"/>
      <c r="O32" s="301"/>
      <c r="Q32" s="272">
        <f t="shared" si="3"/>
        <v>4</v>
      </c>
      <c r="R32" s="17" t="str">
        <f>IFERROR(VLOOKUP(D32,$D$9:D31,1,0),"")</f>
        <v/>
      </c>
    </row>
    <row r="33" spans="1:20" x14ac:dyDescent="0.3">
      <c r="A33" s="349"/>
      <c r="B33" s="302">
        <v>1</v>
      </c>
      <c r="C33" s="302">
        <v>2</v>
      </c>
      <c r="D33" s="302" t="s">
        <v>41</v>
      </c>
      <c r="E33" s="303" t="str">
        <f>VLOOKUP($D33,'Khung_CTĐT_CNTT_K30 (2024)'!$B$10:$L$96,'Ke hoach giảng dạy CNTT'!E$6,0)</f>
        <v xml:space="preserve">Lập trình hướng đối tượng </v>
      </c>
      <c r="F33" s="302">
        <f>VLOOKUP($D33,'Khung_CTĐT_CNTT_K30 (2024)'!$B$10:$L$96,'Ke hoach giảng dạy CNTT'!F$6,0)</f>
        <v>3</v>
      </c>
      <c r="G33" s="302">
        <f>VLOOKUP($D33,'Khung_CTĐT_CNTT_K30 (2024)'!$B$10:$L$96,'Ke hoach giảng dạy CNTT'!G$6,0)</f>
        <v>30</v>
      </c>
      <c r="H33" s="302">
        <f>VLOOKUP($D33,'Khung_CTĐT_CNTT_K30 (2024)'!$B$10:$L$96,'Ke hoach giảng dạy CNTT'!H$6,0)</f>
        <v>30</v>
      </c>
      <c r="I33" s="302">
        <f>VLOOKUP($D33,'Khung_CTĐT_CNTT_K30 (2024)'!$B$10:$L$96,'Ke hoach giảng dạy CNTT'!I$6,0)</f>
        <v>0</v>
      </c>
      <c r="J33" s="302">
        <f>VLOOKUP($D33,'Khung_CTĐT_CNTT_K30 (2024)'!$B$10:$L$96,'Ke hoach giảng dạy CNTT'!J$6,0)</f>
        <v>0</v>
      </c>
      <c r="K33" s="302" t="str">
        <f>VLOOKUP($D33,'Khung_CTĐT_CNTT_K30 (2024)'!$B$10:$L$96,'Ke hoach giảng dạy CNTT'!K$6,0)</f>
        <v>BB</v>
      </c>
      <c r="L33" s="304" t="str">
        <f>VLOOKUP($D33,'Khung_CTĐT_CNTT_K30 (2024)'!$B$10:$L$96,'Ke hoach giảng dạy CNTT'!L$6,0)</f>
        <v>Không</v>
      </c>
      <c r="M33" s="305" t="str">
        <f>VLOOKUP($D33,'Khung_CTĐT_CNTT_K30 (2024)'!$B$10:$L$96,'Ke hoach giảng dạy CNTT'!M$6,0)</f>
        <v>[71ITBS10203]Cơ sở lập trình</v>
      </c>
      <c r="N33" s="300"/>
      <c r="O33" s="301"/>
      <c r="Q33" s="272">
        <f t="shared" si="3"/>
        <v>4</v>
      </c>
      <c r="R33" s="17" t="str">
        <f>IFERROR(VLOOKUP(D33,$D$9:D32,1,0),"")</f>
        <v/>
      </c>
    </row>
    <row r="34" spans="1:20" ht="17.399999999999999" thickBot="1" x14ac:dyDescent="0.35">
      <c r="A34" s="349"/>
      <c r="B34" s="306">
        <v>1</v>
      </c>
      <c r="C34" s="306">
        <v>2</v>
      </c>
      <c r="D34" s="306" t="s">
        <v>42</v>
      </c>
      <c r="E34" s="307" t="str">
        <f>VLOOKUP($D34,'Khung_CTĐT_CNTT_K30 (2024)'!$B$10:$L$96,'Ke hoach giảng dạy CNTT'!E$6,0)</f>
        <v xml:space="preserve">Lập trình ứng dụng Web </v>
      </c>
      <c r="F34" s="306">
        <f>VLOOKUP($D34,'Khung_CTĐT_CNTT_K30 (2024)'!$B$10:$L$96,'Ke hoach giảng dạy CNTT'!F$6,0)</f>
        <v>3</v>
      </c>
      <c r="G34" s="306">
        <f>VLOOKUP($D34,'Khung_CTĐT_CNTT_K30 (2024)'!$B$10:$L$96,'Ke hoach giảng dạy CNTT'!G$6,0)</f>
        <v>30</v>
      </c>
      <c r="H34" s="306">
        <f>VLOOKUP($D34,'Khung_CTĐT_CNTT_K30 (2024)'!$B$10:$L$96,'Ke hoach giảng dạy CNTT'!H$6,0)</f>
        <v>30</v>
      </c>
      <c r="I34" s="306">
        <f>VLOOKUP($D34,'Khung_CTĐT_CNTT_K30 (2024)'!$B$10:$L$96,'Ke hoach giảng dạy CNTT'!I$6,0)</f>
        <v>0</v>
      </c>
      <c r="J34" s="306">
        <f>VLOOKUP($D34,'Khung_CTĐT_CNTT_K30 (2024)'!$B$10:$L$96,'Ke hoach giảng dạy CNTT'!J$6,0)</f>
        <v>0</v>
      </c>
      <c r="K34" s="306" t="str">
        <f>VLOOKUP($D34,'Khung_CTĐT_CNTT_K30 (2024)'!$B$10:$L$96,'Ke hoach giảng dạy CNTT'!K$6,0)</f>
        <v>BB</v>
      </c>
      <c r="L34" s="308" t="str">
        <f>VLOOKUP($D34,'Khung_CTĐT_CNTT_K30 (2024)'!$B$10:$L$96,'Ke hoach giảng dạy CNTT'!L$6,0)</f>
        <v>Không</v>
      </c>
      <c r="M34" s="309" t="str">
        <f>VLOOKUP($D34,'Khung_CTĐT_CNTT_K30 (2024)'!$B$10:$L$96,'Ke hoach giảng dạy CNTT'!M$6,0)</f>
        <v>[71ITBS10203]Cơ sở lập trình</v>
      </c>
      <c r="N34" s="300"/>
      <c r="O34" s="301"/>
      <c r="Q34" s="272">
        <f t="shared" si="3"/>
        <v>4</v>
      </c>
      <c r="R34" s="17" t="str">
        <f>IFERROR(VLOOKUP(D34,$D$9:D33,1,0),"")</f>
        <v/>
      </c>
    </row>
    <row r="35" spans="1:20" x14ac:dyDescent="0.3">
      <c r="A35" s="348" t="s">
        <v>43</v>
      </c>
      <c r="B35" s="310">
        <v>2</v>
      </c>
      <c r="C35" s="310"/>
      <c r="D35" s="310" t="s">
        <v>44</v>
      </c>
      <c r="E35" s="311" t="str">
        <f>VLOOKUP($D35,'Khung_CTĐT_CNTT_K30 (2024)'!$B$10:$L$96,'Ke hoach giảng dạy CNTT'!E$6,0)</f>
        <v>Chủ nghĩa xã hội khoa học</v>
      </c>
      <c r="F35" s="310">
        <f>VLOOKUP($D35,'Khung_CTĐT_CNTT_K30 (2024)'!$B$10:$L$96,'Ke hoach giảng dạy CNTT'!F$6,0)</f>
        <v>2</v>
      </c>
      <c r="G35" s="310">
        <f>VLOOKUP($D35,'Khung_CTĐT_CNTT_K30 (2024)'!$B$10:$L$96,'Ke hoach giảng dạy CNTT'!G$6,0)</f>
        <v>30</v>
      </c>
      <c r="H35" s="310">
        <f>VLOOKUP($D35,'Khung_CTĐT_CNTT_K30 (2024)'!$B$10:$L$96,'Ke hoach giảng dạy CNTT'!H$6,0)</f>
        <v>0</v>
      </c>
      <c r="I35" s="310">
        <f>VLOOKUP($D35,'Khung_CTĐT_CNTT_K30 (2024)'!$B$10:$L$96,'Ke hoach giảng dạy CNTT'!I$6,0)</f>
        <v>0</v>
      </c>
      <c r="J35" s="310">
        <f>VLOOKUP($D35,'Khung_CTĐT_CNTT_K30 (2024)'!$B$10:$L$96,'Ke hoach giảng dạy CNTT'!J$6,0)</f>
        <v>0</v>
      </c>
      <c r="K35" s="310" t="str">
        <f>VLOOKUP($D35,'Khung_CTĐT_CNTT_K30 (2024)'!$B$10:$L$96,'Ke hoach giảng dạy CNTT'!K$6,0)</f>
        <v>BB</v>
      </c>
      <c r="L35" s="312" t="str">
        <f>VLOOKUP($D35,'Khung_CTĐT_CNTT_K30 (2024)'!$B$10:$L$96,'Ke hoach giảng dạy CNTT'!L$6,0)</f>
        <v>Không</v>
      </c>
      <c r="M35" s="313" t="str">
        <f>VLOOKUP($D35,'Khung_CTĐT_CNTT_K30 (2024)'!$B$10:$L$96,'Ke hoach giảng dạy CNTT'!M$6,0)</f>
        <v>[71POLP10013]Triết học Mác-Lênin</v>
      </c>
      <c r="N35" s="300">
        <f>SUM(F35:F37)+6</f>
        <v>14</v>
      </c>
      <c r="O35" s="301"/>
      <c r="P35" s="113">
        <f>P30+N35</f>
        <v>69</v>
      </c>
      <c r="Q35" s="272">
        <v>5</v>
      </c>
      <c r="R35" s="17" t="str">
        <f>IFERROR(VLOOKUP(D35,$D$9:D34,1,0),"")</f>
        <v/>
      </c>
    </row>
    <row r="36" spans="1:20" ht="27.6" x14ac:dyDescent="0.3">
      <c r="A36" s="349"/>
      <c r="B36" s="302">
        <v>2</v>
      </c>
      <c r="C36" s="302">
        <v>2</v>
      </c>
      <c r="D36" s="302" t="s">
        <v>45</v>
      </c>
      <c r="E36" s="303" t="str">
        <f>VLOOKUP($D36,'Khung_CTĐT_CNTT_K30 (2024)'!$B$10:$L$96,'Ke hoach giảng dạy CNTT'!E$6,0)</f>
        <v>Anh văn 5 (AV5)</v>
      </c>
      <c r="F36" s="302">
        <f>VLOOKUP($D36,'Khung_CTĐT_CNTT_K30 (2024)'!$B$10:$L$96,'Ke hoach giảng dạy CNTT'!F$6,0)</f>
        <v>3</v>
      </c>
      <c r="G36" s="302">
        <f>VLOOKUP($D36,'Khung_CTĐT_CNTT_K30 (2024)'!$B$10:$L$96,'Ke hoach giảng dạy CNTT'!G$6,0)</f>
        <v>30</v>
      </c>
      <c r="H36" s="302">
        <f>VLOOKUP($D36,'Khung_CTĐT_CNTT_K30 (2024)'!$B$10:$L$96,'Ke hoach giảng dạy CNTT'!H$6,0)</f>
        <v>30</v>
      </c>
      <c r="I36" s="302">
        <f>VLOOKUP($D36,'Khung_CTĐT_CNTT_K30 (2024)'!$B$10:$L$96,'Ke hoach giảng dạy CNTT'!I$6,0)</f>
        <v>0</v>
      </c>
      <c r="J36" s="302">
        <f>VLOOKUP($D36,'Khung_CTĐT_CNTT_K30 (2024)'!$B$10:$L$96,'Ke hoach giảng dạy CNTT'!J$6,0)</f>
        <v>0</v>
      </c>
      <c r="K36" s="302" t="str">
        <f>VLOOKUP($D36,'Khung_CTĐT_CNTT_K30 (2024)'!$B$10:$L$96,'Ke hoach giảng dạy CNTT'!K$6,0)</f>
        <v>BB</v>
      </c>
      <c r="L36" s="304" t="str">
        <f>VLOOKUP($D36,'Khung_CTĐT_CNTT_K30 (2024)'!$B$10:$L$96,'Ke hoach giảng dạy CNTT'!L$6,0)</f>
        <v>[71ENG410043]Anh văn 4 (AV4)</v>
      </c>
      <c r="M36" s="305" t="str">
        <f>VLOOKUP($D36,'Khung_CTĐT_CNTT_K30 (2024)'!$B$10:$L$96,'Ke hoach giảng dạy CNTT'!M$6,0)</f>
        <v xml:space="preserve">Không </v>
      </c>
      <c r="N36" s="300"/>
      <c r="O36" s="301"/>
      <c r="Q36" s="272">
        <f t="shared" ref="Q36:Q44" si="4">Q35</f>
        <v>5</v>
      </c>
      <c r="R36" s="17" t="str">
        <f>IFERROR(VLOOKUP(D36,$D$9:D35,1,0),"")</f>
        <v/>
      </c>
    </row>
    <row r="37" spans="1:20" x14ac:dyDescent="0.3">
      <c r="A37" s="349"/>
      <c r="B37" s="302">
        <v>2</v>
      </c>
      <c r="C37" s="302">
        <v>2</v>
      </c>
      <c r="D37" s="302" t="s">
        <v>46</v>
      </c>
      <c r="E37" s="303" t="str">
        <f>VLOOKUP($D37,'Khung_CTĐT_CNTT_K30 (2024)'!$B$10:$L$96,'Ke hoach giảng dạy CNTT'!E$6,0)</f>
        <v>Các nền tảng phát triển phần mềm</v>
      </c>
      <c r="F37" s="302">
        <f>VLOOKUP($D37,'Khung_CTĐT_CNTT_K30 (2024)'!$B$10:$L$96,'Ke hoach giảng dạy CNTT'!F$6,0)</f>
        <v>3</v>
      </c>
      <c r="G37" s="302">
        <f>VLOOKUP($D37,'Khung_CTĐT_CNTT_K30 (2024)'!$B$10:$L$96,'Ke hoach giảng dạy CNTT'!G$6,0)</f>
        <v>30</v>
      </c>
      <c r="H37" s="302">
        <f>VLOOKUP($D37,'Khung_CTĐT_CNTT_K30 (2024)'!$B$10:$L$96,'Ke hoach giảng dạy CNTT'!H$6,0)</f>
        <v>30</v>
      </c>
      <c r="I37" s="302">
        <f>VLOOKUP($D37,'Khung_CTĐT_CNTT_K30 (2024)'!$B$10:$L$96,'Ke hoach giảng dạy CNTT'!I$6,0)</f>
        <v>0</v>
      </c>
      <c r="J37" s="302">
        <f>VLOOKUP($D37,'Khung_CTĐT_CNTT_K30 (2024)'!$B$10:$L$96,'Ke hoach giảng dạy CNTT'!J$6,0)</f>
        <v>0</v>
      </c>
      <c r="K37" s="302" t="str">
        <f>VLOOKUP($D37,'Khung_CTĐT_CNTT_K30 (2024)'!$B$10:$L$96,'Ke hoach giảng dạy CNTT'!K$6,0)</f>
        <v>BB</v>
      </c>
      <c r="L37" s="304" t="str">
        <f>VLOOKUP($D37,'Khung_CTĐT_CNTT_K30 (2024)'!$B$10:$L$96,'Ke hoach giảng dạy CNTT'!L$6,0)</f>
        <v>Không</v>
      </c>
      <c r="M37" s="305" t="str">
        <f>VLOOKUP($D37,'Khung_CTĐT_CNTT_K30 (2024)'!$B$10:$L$96,'Ke hoach giảng dạy CNTT'!M$6,0)</f>
        <v>[71ITBS10103]Nhập môn công nghệ thông tin</v>
      </c>
      <c r="N37" s="300"/>
      <c r="O37" s="301"/>
      <c r="Q37" s="272">
        <f t="shared" si="4"/>
        <v>5</v>
      </c>
      <c r="R37" s="17" t="str">
        <f>IFERROR(VLOOKUP(D37,$D$9:D36,1,0),"")</f>
        <v/>
      </c>
    </row>
    <row r="38" spans="1:20" x14ac:dyDescent="0.3">
      <c r="A38" s="349"/>
      <c r="B38" s="314"/>
      <c r="C38" s="315" t="s">
        <v>47</v>
      </c>
      <c r="D38" s="315"/>
      <c r="E38" s="316"/>
      <c r="F38" s="314"/>
      <c r="G38" s="314"/>
      <c r="H38" s="314"/>
      <c r="I38" s="314"/>
      <c r="J38" s="314"/>
      <c r="K38" s="314"/>
      <c r="L38" s="317"/>
      <c r="M38" s="318"/>
      <c r="N38" s="319"/>
      <c r="O38" s="320"/>
      <c r="Q38" s="272">
        <f t="shared" si="4"/>
        <v>5</v>
      </c>
      <c r="R38" s="17" t="str">
        <f>IFERROR(VLOOKUP(D38,$D$9:D37,1,0),"")</f>
        <v/>
      </c>
    </row>
    <row r="39" spans="1:20" x14ac:dyDescent="0.3">
      <c r="A39" s="349"/>
      <c r="B39" s="302">
        <v>2</v>
      </c>
      <c r="C39" s="302">
        <v>2</v>
      </c>
      <c r="D39" s="302" t="s">
        <v>48</v>
      </c>
      <c r="E39" s="303" t="str">
        <f>VLOOKUP($D39,'Khung_CTĐT_CNTT_K30 (2024)'!$B$10:$L$96,'Ke hoach giảng dạy CNTT'!E$6,0)</f>
        <v>Nhập môn Hệ thống thông tin</v>
      </c>
      <c r="F39" s="302">
        <f>VLOOKUP($D39,'Khung_CTĐT_CNTT_K30 (2024)'!$B$10:$L$96,'Ke hoach giảng dạy CNTT'!F$6,0)</f>
        <v>3</v>
      </c>
      <c r="G39" s="302">
        <f>VLOOKUP($D39,'Khung_CTĐT_CNTT_K30 (2024)'!$B$10:$L$96,'Ke hoach giảng dạy CNTT'!G$6,0)</f>
        <v>30</v>
      </c>
      <c r="H39" s="302">
        <f>VLOOKUP($D39,'Khung_CTĐT_CNTT_K30 (2024)'!$B$10:$L$96,'Ke hoach giảng dạy CNTT'!H$6,0)</f>
        <v>30</v>
      </c>
      <c r="I39" s="302">
        <f>VLOOKUP($D39,'Khung_CTĐT_CNTT_K30 (2024)'!$B$10:$L$96,'Ke hoach giảng dạy CNTT'!I$6,0)</f>
        <v>0</v>
      </c>
      <c r="J39" s="302">
        <f>VLOOKUP($D39,'Khung_CTĐT_CNTT_K30 (2024)'!$B$10:$L$96,'Ke hoach giảng dạy CNTT'!J$6,0)</f>
        <v>0</v>
      </c>
      <c r="K39" s="302" t="str">
        <f>VLOOKUP($D39,'Khung_CTĐT_CNTT_K30 (2024)'!$B$10:$L$96,'Ke hoach giảng dạy CNTT'!K$6,0)</f>
        <v>TC209</v>
      </c>
      <c r="L39" s="304" t="str">
        <f>VLOOKUP($D39,'Khung_CTĐT_CNTT_K30 (2024)'!$B$10:$L$96,'Ke hoach giảng dạy CNTT'!L$6,0)</f>
        <v>Không</v>
      </c>
      <c r="M39" s="305" t="str">
        <f>VLOOKUP($D39,'Khung_CTĐT_CNTT_K30 (2024)'!$B$10:$L$96,'Ke hoach giảng dạy CNTT'!M$6,0)</f>
        <v>[71ITBS10103]Nhập môn công nghệ thông tin</v>
      </c>
      <c r="N39" s="300"/>
      <c r="O39" s="301"/>
      <c r="Q39" s="272">
        <f t="shared" si="4"/>
        <v>5</v>
      </c>
      <c r="R39" s="17" t="str">
        <f>IFERROR(VLOOKUP(D39,$D$9:D38,1,0),"")</f>
        <v/>
      </c>
    </row>
    <row r="40" spans="1:20" x14ac:dyDescent="0.3">
      <c r="A40" s="349"/>
      <c r="B40" s="302">
        <v>2</v>
      </c>
      <c r="C40" s="302">
        <v>2</v>
      </c>
      <c r="D40" s="302" t="s">
        <v>49</v>
      </c>
      <c r="E40" s="303" t="str">
        <f>VLOOKUP($D40,'Khung_CTĐT_CNTT_K30 (2024)'!$B$10:$L$96,'Ke hoach giảng dạy CNTT'!E$6,0)</f>
        <v xml:space="preserve">An ninh Mạng máy tính </v>
      </c>
      <c r="F40" s="302">
        <f>VLOOKUP($D40,'Khung_CTĐT_CNTT_K30 (2024)'!$B$10:$L$96,'Ke hoach giảng dạy CNTT'!F$6,0)</f>
        <v>3</v>
      </c>
      <c r="G40" s="302">
        <f>VLOOKUP($D40,'Khung_CTĐT_CNTT_K30 (2024)'!$B$10:$L$96,'Ke hoach giảng dạy CNTT'!G$6,0)</f>
        <v>30</v>
      </c>
      <c r="H40" s="302">
        <f>VLOOKUP($D40,'Khung_CTĐT_CNTT_K30 (2024)'!$B$10:$L$96,'Ke hoach giảng dạy CNTT'!H$6,0)</f>
        <v>30</v>
      </c>
      <c r="I40" s="302">
        <f>VLOOKUP($D40,'Khung_CTĐT_CNTT_K30 (2024)'!$B$10:$L$96,'Ke hoach giảng dạy CNTT'!I$6,0)</f>
        <v>0</v>
      </c>
      <c r="J40" s="302">
        <f>VLOOKUP($D40,'Khung_CTĐT_CNTT_K30 (2024)'!$B$10:$L$96,'Ke hoach giảng dạy CNTT'!J$6,0)</f>
        <v>0</v>
      </c>
      <c r="K40" s="302" t="str">
        <f>VLOOKUP($D40,'Khung_CTĐT_CNTT_K30 (2024)'!$B$10:$L$96,'Ke hoach giảng dạy CNTT'!K$6,0)</f>
        <v>TC209</v>
      </c>
      <c r="L40" s="304" t="str">
        <f>VLOOKUP($D40,'Khung_CTĐT_CNTT_K30 (2024)'!$B$10:$L$96,'Ke hoach giảng dạy CNTT'!L$6,0)</f>
        <v>Không</v>
      </c>
      <c r="M40" s="305" t="str">
        <f>VLOOKUP($D40,'Khung_CTĐT_CNTT_K30 (2024)'!$B$10:$L$96,'Ke hoach giảng dạy CNTT'!M$6,0)</f>
        <v>Không</v>
      </c>
      <c r="N40" s="300"/>
      <c r="O40" s="301"/>
      <c r="Q40" s="272">
        <f t="shared" si="4"/>
        <v>5</v>
      </c>
      <c r="R40" s="17" t="str">
        <f>IFERROR(VLOOKUP(D40,$D$9:D39,1,0),"")</f>
        <v/>
      </c>
    </row>
    <row r="41" spans="1:20" x14ac:dyDescent="0.3">
      <c r="A41" s="349"/>
      <c r="B41" s="302">
        <v>2</v>
      </c>
      <c r="C41" s="302">
        <v>2</v>
      </c>
      <c r="D41" s="302" t="s">
        <v>50</v>
      </c>
      <c r="E41" s="303" t="str">
        <f>VLOOKUP($D41,'Khung_CTĐT_CNTT_K30 (2024)'!$B$10:$L$96,'Ke hoach giảng dạy CNTT'!E$6,0)</f>
        <v>Xác xuất thống kê ứng dụng</v>
      </c>
      <c r="F41" s="302">
        <f>VLOOKUP($D41,'Khung_CTĐT_CNTT_K30 (2024)'!$B$10:$L$96,'Ke hoach giảng dạy CNTT'!F$6,0)</f>
        <v>3</v>
      </c>
      <c r="G41" s="302">
        <f>VLOOKUP($D41,'Khung_CTĐT_CNTT_K30 (2024)'!$B$10:$L$96,'Ke hoach giảng dạy CNTT'!G$6,0)</f>
        <v>30</v>
      </c>
      <c r="H41" s="302">
        <f>VLOOKUP($D41,'Khung_CTĐT_CNTT_K30 (2024)'!$B$10:$L$96,'Ke hoach giảng dạy CNTT'!H$6,0)</f>
        <v>30</v>
      </c>
      <c r="I41" s="302">
        <f>VLOOKUP($D41,'Khung_CTĐT_CNTT_K30 (2024)'!$B$10:$L$96,'Ke hoach giảng dạy CNTT'!I$6,0)</f>
        <v>0</v>
      </c>
      <c r="J41" s="302">
        <f>VLOOKUP($D41,'Khung_CTĐT_CNTT_K30 (2024)'!$B$10:$L$96,'Ke hoach giảng dạy CNTT'!J$6,0)</f>
        <v>0</v>
      </c>
      <c r="K41" s="302" t="str">
        <f>VLOOKUP($D41,'Khung_CTĐT_CNTT_K30 (2024)'!$B$10:$L$96,'Ke hoach giảng dạy CNTT'!K$6,0)</f>
        <v>TC209</v>
      </c>
      <c r="L41" s="304" t="str">
        <f>VLOOKUP($D41,'Khung_CTĐT_CNTT_K30 (2024)'!$B$10:$L$96,'Ke hoach giảng dạy CNTT'!L$6,0)</f>
        <v>Không</v>
      </c>
      <c r="M41" s="305" t="str">
        <f>VLOOKUP($D41,'Khung_CTĐT_CNTT_K30 (2024)'!$B$10:$L$96,'Ke hoach giảng dạy CNTT'!M$6,0)</f>
        <v>[71ITMA10403]Toán rời rạc</v>
      </c>
      <c r="N41" s="300"/>
      <c r="O41" s="301"/>
      <c r="Q41" s="272">
        <f t="shared" si="4"/>
        <v>5</v>
      </c>
      <c r="R41" s="17" t="str">
        <f>IFERROR(VLOOKUP(D41,$D$9:D40,1,0),"")</f>
        <v/>
      </c>
    </row>
    <row r="42" spans="1:20" x14ac:dyDescent="0.3">
      <c r="A42" s="349"/>
      <c r="B42" s="302">
        <v>2</v>
      </c>
      <c r="C42" s="302">
        <v>2</v>
      </c>
      <c r="D42" s="302" t="s">
        <v>51</v>
      </c>
      <c r="E42" s="303" t="str">
        <f>VLOOKUP($D42,'Khung_CTĐT_CNTT_K30 (2024)'!$B$10:$L$96,'Ke hoach giảng dạy CNTT'!E$6,0)</f>
        <v>Quản lý Dự án Công nghệ Thông tin</v>
      </c>
      <c r="F42" s="302">
        <f>VLOOKUP($D42,'Khung_CTĐT_CNTT_K30 (2024)'!$B$10:$L$96,'Ke hoach giảng dạy CNTT'!F$6,0)</f>
        <v>3</v>
      </c>
      <c r="G42" s="302">
        <f>VLOOKUP($D42,'Khung_CTĐT_CNTT_K30 (2024)'!$B$10:$L$96,'Ke hoach giảng dạy CNTT'!G$6,0)</f>
        <v>30</v>
      </c>
      <c r="H42" s="302">
        <f>VLOOKUP($D42,'Khung_CTĐT_CNTT_K30 (2024)'!$B$10:$L$96,'Ke hoach giảng dạy CNTT'!H$6,0)</f>
        <v>30</v>
      </c>
      <c r="I42" s="302">
        <f>VLOOKUP($D42,'Khung_CTĐT_CNTT_K30 (2024)'!$B$10:$L$96,'Ke hoach giảng dạy CNTT'!I$6,0)</f>
        <v>0</v>
      </c>
      <c r="J42" s="302">
        <f>VLOOKUP($D42,'Khung_CTĐT_CNTT_K30 (2024)'!$B$10:$L$96,'Ke hoach giảng dạy CNTT'!J$6,0)</f>
        <v>0</v>
      </c>
      <c r="K42" s="302" t="str">
        <f>VLOOKUP($D42,'Khung_CTĐT_CNTT_K30 (2024)'!$B$10:$L$96,'Ke hoach giảng dạy CNTT'!K$6,0)</f>
        <v>TC209</v>
      </c>
      <c r="L42" s="304" t="str">
        <f>VLOOKUP($D42,'Khung_CTĐT_CNTT_K30 (2024)'!$B$10:$L$96,'Ke hoach giảng dạy CNTT'!L$6,0)</f>
        <v>Không</v>
      </c>
      <c r="M42" s="305" t="str">
        <f>VLOOKUP($D42,'Khung_CTĐT_CNTT_K30 (2024)'!$B$10:$L$96,'Ke hoach giảng dạy CNTT'!M$6,0)</f>
        <v>[71ITBS10103]Nhập môn công nghệ thông tin</v>
      </c>
      <c r="N42" s="300"/>
      <c r="O42" s="301"/>
      <c r="P42" s="294"/>
      <c r="Q42" s="275">
        <f>Q40</f>
        <v>5</v>
      </c>
      <c r="R42" s="274" t="str">
        <f>IFERROR(VLOOKUP(D42,$D$9:D40,1,0),"")</f>
        <v/>
      </c>
      <c r="S42" s="274"/>
      <c r="T42" s="274"/>
    </row>
    <row r="43" spans="1:20" x14ac:dyDescent="0.3">
      <c r="A43" s="349"/>
      <c r="B43" s="302">
        <v>2</v>
      </c>
      <c r="C43" s="302">
        <v>2</v>
      </c>
      <c r="D43" s="302" t="s">
        <v>52</v>
      </c>
      <c r="E43" s="303" t="str">
        <f>VLOOKUP($D43,'Khung_CTĐT_CNTT_K30 (2024)'!$B$10:$L$96,'Ke hoach giảng dạy CNTT'!E$6,0)</f>
        <v xml:space="preserve">Hệ Quản trị Cơ sở dữ liệu </v>
      </c>
      <c r="F43" s="302">
        <f>VLOOKUP($D43,'Khung_CTĐT_CNTT_K30 (2024)'!$B$10:$L$96,'Ke hoach giảng dạy CNTT'!F$6,0)</f>
        <v>3</v>
      </c>
      <c r="G43" s="302">
        <f>VLOOKUP($D43,'Khung_CTĐT_CNTT_K30 (2024)'!$B$10:$L$96,'Ke hoach giảng dạy CNTT'!G$6,0)</f>
        <v>30</v>
      </c>
      <c r="H43" s="302">
        <f>VLOOKUP($D43,'Khung_CTĐT_CNTT_K30 (2024)'!$B$10:$L$96,'Ke hoach giảng dạy CNTT'!H$6,0)</f>
        <v>30</v>
      </c>
      <c r="I43" s="302">
        <f>VLOOKUP($D43,'Khung_CTĐT_CNTT_K30 (2024)'!$B$10:$L$96,'Ke hoach giảng dạy CNTT'!I$6,0)</f>
        <v>0</v>
      </c>
      <c r="J43" s="302">
        <f>VLOOKUP($D43,'Khung_CTĐT_CNTT_K30 (2024)'!$B$10:$L$96,'Ke hoach giảng dạy CNTT'!J$6,0)</f>
        <v>0</v>
      </c>
      <c r="K43" s="302" t="str">
        <f>VLOOKUP($D43,'Khung_CTĐT_CNTT_K30 (2024)'!$B$10:$L$96,'Ke hoach giảng dạy CNTT'!K$6,0)</f>
        <v>TC309</v>
      </c>
      <c r="L43" s="304" t="str">
        <f>VLOOKUP($D43,'Khung_CTĐT_CNTT_K30 (2024)'!$B$10:$L$96,'Ke hoach giảng dạy CNTT'!L$6,0)</f>
        <v>Không</v>
      </c>
      <c r="M43" s="305" t="str">
        <f>VLOOKUP($D43,'Khung_CTĐT_CNTT_K30 (2024)'!$B$10:$L$96,'Ke hoach giảng dạy CNTT'!M$6,0)</f>
        <v>[71ITIS30103]Cơ sở dữ liệu</v>
      </c>
      <c r="N43" s="300"/>
      <c r="O43" s="301"/>
      <c r="Q43" s="272">
        <f>Q41</f>
        <v>5</v>
      </c>
      <c r="R43" s="17" t="str">
        <f>IFERROR(VLOOKUP(D43,$D$9:D41,1,0),"")</f>
        <v/>
      </c>
    </row>
    <row r="44" spans="1:20" ht="17.399999999999999" thickBot="1" x14ac:dyDescent="0.35">
      <c r="A44" s="349"/>
      <c r="B44" s="306">
        <v>2</v>
      </c>
      <c r="C44" s="306">
        <v>2</v>
      </c>
      <c r="D44" s="306" t="s">
        <v>53</v>
      </c>
      <c r="E44" s="307" t="str">
        <f>VLOOKUP($D44,'Khung_CTĐT_CNTT_K30 (2024)'!$B$10:$L$96,'Ke hoach giảng dạy CNTT'!E$6,0)</f>
        <v>Lập trình ứng dụng Java</v>
      </c>
      <c r="F44" s="306">
        <f>VLOOKUP($D44,'Khung_CTĐT_CNTT_K30 (2024)'!$B$10:$L$96,'Ke hoach giảng dạy CNTT'!F$6,0)</f>
        <v>3</v>
      </c>
      <c r="G44" s="306">
        <f>VLOOKUP($D44,'Khung_CTĐT_CNTT_K30 (2024)'!$B$10:$L$96,'Ke hoach giảng dạy CNTT'!G$6,0)</f>
        <v>30</v>
      </c>
      <c r="H44" s="306">
        <f>VLOOKUP($D44,'Khung_CTĐT_CNTT_K30 (2024)'!$B$10:$L$96,'Ke hoach giảng dạy CNTT'!H$6,0)</f>
        <v>30</v>
      </c>
      <c r="I44" s="306">
        <f>VLOOKUP($D44,'Khung_CTĐT_CNTT_K30 (2024)'!$B$10:$L$96,'Ke hoach giảng dạy CNTT'!I$6,0)</f>
        <v>0</v>
      </c>
      <c r="J44" s="306">
        <f>VLOOKUP($D44,'Khung_CTĐT_CNTT_K30 (2024)'!$B$10:$L$96,'Ke hoach giảng dạy CNTT'!J$6,0)</f>
        <v>0</v>
      </c>
      <c r="K44" s="306" t="str">
        <f>VLOOKUP($D44,'Khung_CTĐT_CNTT_K30 (2024)'!$B$10:$L$96,'Ke hoach giảng dạy CNTT'!K$6,0)</f>
        <v>TC209</v>
      </c>
      <c r="L44" s="308" t="str">
        <f>VLOOKUP($D44,'Khung_CTĐT_CNTT_K30 (2024)'!$B$10:$L$96,'Ke hoach giảng dạy CNTT'!L$6,0)</f>
        <v>Không</v>
      </c>
      <c r="M44" s="309" t="str">
        <f>VLOOKUP($D44,'Khung_CTĐT_CNTT_K30 (2024)'!$B$10:$L$96,'Ke hoach giảng dạy CNTT'!M$6,0)</f>
        <v>Không</v>
      </c>
      <c r="N44" s="321"/>
      <c r="O44" s="322"/>
      <c r="Q44" s="272">
        <f t="shared" si="4"/>
        <v>5</v>
      </c>
      <c r="R44" s="17" t="str">
        <f>IFERROR(VLOOKUP(D44,$D$9:D43,1,0),"")</f>
        <v/>
      </c>
    </row>
    <row r="45" spans="1:20" x14ac:dyDescent="0.3">
      <c r="A45" s="344" t="s">
        <v>54</v>
      </c>
      <c r="B45" s="52">
        <v>3</v>
      </c>
      <c r="C45" s="52"/>
      <c r="D45" s="53"/>
      <c r="E45" s="63"/>
      <c r="F45" s="52"/>
      <c r="G45" s="52"/>
      <c r="H45" s="52"/>
      <c r="I45" s="52"/>
      <c r="J45" s="52"/>
      <c r="K45" s="52"/>
      <c r="L45" s="64"/>
      <c r="M45" s="65"/>
      <c r="N45" s="117">
        <f>SUM(F45:F47)+3+3</f>
        <v>12</v>
      </c>
      <c r="O45" s="106"/>
      <c r="P45" s="113">
        <f>P35+N45</f>
        <v>81</v>
      </c>
      <c r="Q45" s="272">
        <v>6</v>
      </c>
      <c r="R45" s="17" t="str">
        <f>IFERROR(VLOOKUP(D45,$D$9:D44,1,0),"")</f>
        <v/>
      </c>
    </row>
    <row r="46" spans="1:20" ht="27.6" x14ac:dyDescent="0.3">
      <c r="A46" s="347"/>
      <c r="B46" s="25">
        <v>3</v>
      </c>
      <c r="C46" s="25">
        <v>2</v>
      </c>
      <c r="D46" s="26" t="s">
        <v>55</v>
      </c>
      <c r="E46" s="30" t="str">
        <f>VLOOKUP($D46,'Khung_CTĐT_CNTT_K30 (2024)'!$B$10:$L$96,'Ke hoach giảng dạy CNTT'!E$6,0)</f>
        <v>Anh văn 6 (AV6)</v>
      </c>
      <c r="F46" s="31">
        <f>VLOOKUP($D46,'Khung_CTĐT_CNTT_K30 (2024)'!$B$10:$L$96,'Ke hoach giảng dạy CNTT'!F$6,0)</f>
        <v>3</v>
      </c>
      <c r="G46" s="31">
        <f>VLOOKUP($D46,'Khung_CTĐT_CNTT_K30 (2024)'!$B$10:$L$96,'Ke hoach giảng dạy CNTT'!G$6,0)</f>
        <v>45</v>
      </c>
      <c r="H46" s="31">
        <f>VLOOKUP($D46,'Khung_CTĐT_CNTT_K30 (2024)'!$B$10:$L$96,'Ke hoach giảng dạy CNTT'!H$6,0)</f>
        <v>0</v>
      </c>
      <c r="I46" s="31">
        <f>VLOOKUP($D46,'Khung_CTĐT_CNTT_K30 (2024)'!$B$10:$L$96,'Ke hoach giảng dạy CNTT'!I$6,0)</f>
        <v>0</v>
      </c>
      <c r="J46" s="31">
        <f>VLOOKUP($D46,'Khung_CTĐT_CNTT_K30 (2024)'!$B$10:$L$96,'Ke hoach giảng dạy CNTT'!J$6,0)</f>
        <v>0</v>
      </c>
      <c r="K46" s="31" t="str">
        <f>VLOOKUP($D46,'Khung_CTĐT_CNTT_K30 (2024)'!$B$10:$L$96,'Ke hoach giảng dạy CNTT'!K$6,0)</f>
        <v>BB</v>
      </c>
      <c r="L46" s="32" t="str">
        <f>VLOOKUP($D46,'Khung_CTĐT_CNTT_K30 (2024)'!$B$10:$L$96,'Ke hoach giảng dạy CNTT'!L$6,0)</f>
        <v>[71ENG510053]Anh văn 5 (AV5)</v>
      </c>
      <c r="M46" s="33" t="str">
        <f>VLOOKUP($D46,'Khung_CTĐT_CNTT_K30 (2024)'!$B$10:$L$96,'Ke hoach giảng dạy CNTT'!M$6,0)</f>
        <v xml:space="preserve">Không </v>
      </c>
      <c r="N46" s="115"/>
      <c r="O46" s="107"/>
      <c r="Q46" s="272">
        <f t="shared" ref="Q46:Q58" si="5">Q45</f>
        <v>6</v>
      </c>
      <c r="R46" s="17" t="str">
        <f>IFERROR(VLOOKUP(D46,$D$9:D45,1,0),"")</f>
        <v/>
      </c>
    </row>
    <row r="47" spans="1:20" x14ac:dyDescent="0.3">
      <c r="A47" s="345"/>
      <c r="B47" s="25">
        <v>3</v>
      </c>
      <c r="C47" s="25">
        <v>2</v>
      </c>
      <c r="D47" s="26" t="s">
        <v>56</v>
      </c>
      <c r="E47" s="30" t="str">
        <f>VLOOKUP($D47,'Khung_CTĐT_CNTT_K30 (2024)'!$B$10:$L$96,'Ke hoach giảng dạy CNTT'!E$6,0)</f>
        <v xml:space="preserve">Nhập môn Trí tuệ nhân tạo </v>
      </c>
      <c r="F47" s="31">
        <f>VLOOKUP($D47,'Khung_CTĐT_CNTT_K30 (2024)'!$B$10:$L$96,'Ke hoach giảng dạy CNTT'!F$6,0)</f>
        <v>3</v>
      </c>
      <c r="G47" s="31">
        <f>VLOOKUP($D47,'Khung_CTĐT_CNTT_K30 (2024)'!$B$10:$L$96,'Ke hoach giảng dạy CNTT'!G$6,0)</f>
        <v>30</v>
      </c>
      <c r="H47" s="31">
        <f>VLOOKUP($D47,'Khung_CTĐT_CNTT_K30 (2024)'!$B$10:$L$96,'Ke hoach giảng dạy CNTT'!H$6,0)</f>
        <v>30</v>
      </c>
      <c r="I47" s="31">
        <f>VLOOKUP($D47,'Khung_CTĐT_CNTT_K30 (2024)'!$B$10:$L$96,'Ke hoach giảng dạy CNTT'!I$6,0)</f>
        <v>0</v>
      </c>
      <c r="J47" s="31">
        <f>VLOOKUP($D47,'Khung_CTĐT_CNTT_K30 (2024)'!$B$10:$L$96,'Ke hoach giảng dạy CNTT'!J$6,0)</f>
        <v>0</v>
      </c>
      <c r="K47" s="31" t="str">
        <f>VLOOKUP($D47,'Khung_CTĐT_CNTT_K30 (2024)'!$B$10:$L$96,'Ke hoach giảng dạy CNTT'!K$6,0)</f>
        <v>BB</v>
      </c>
      <c r="L47" s="32" t="str">
        <f>VLOOKUP($D47,'Khung_CTĐT_CNTT_K30 (2024)'!$B$10:$L$96,'Ke hoach giảng dạy CNTT'!L$6,0)</f>
        <v>Không</v>
      </c>
      <c r="M47" s="33" t="str">
        <f>VLOOKUP($D47,'Khung_CTĐT_CNTT_K30 (2024)'!$B$10:$L$96,'Ke hoach giảng dạy CNTT'!M$6,0)</f>
        <v>[71ITBS10203]Cơ sở lập trình</v>
      </c>
      <c r="N47" s="115"/>
      <c r="O47" s="107"/>
      <c r="Q47" s="272">
        <f>Q46</f>
        <v>6</v>
      </c>
      <c r="R47" s="17" t="str">
        <f>IFERROR(VLOOKUP(D47,$D$9:D46,1,0),"")</f>
        <v/>
      </c>
    </row>
    <row r="48" spans="1:20" x14ac:dyDescent="0.3">
      <c r="A48" s="345"/>
      <c r="B48" s="45"/>
      <c r="C48" s="49" t="s">
        <v>57</v>
      </c>
      <c r="D48" s="49"/>
      <c r="E48" s="46"/>
      <c r="F48" s="45"/>
      <c r="G48" s="45"/>
      <c r="H48" s="45"/>
      <c r="I48" s="45"/>
      <c r="J48" s="45"/>
      <c r="K48" s="45"/>
      <c r="L48" s="47"/>
      <c r="M48" s="48"/>
      <c r="N48" s="264"/>
      <c r="O48" s="265"/>
      <c r="Q48" s="272">
        <f t="shared" si="5"/>
        <v>6</v>
      </c>
      <c r="R48" s="17" t="str">
        <f>IFERROR(VLOOKUP(D48,$D$9:D47,1,0),"")</f>
        <v/>
      </c>
    </row>
    <row r="49" spans="1:18" x14ac:dyDescent="0.3">
      <c r="A49" s="345"/>
      <c r="B49" s="25">
        <v>3</v>
      </c>
      <c r="C49" s="25">
        <v>2</v>
      </c>
      <c r="D49" s="26" t="s">
        <v>58</v>
      </c>
      <c r="E49" s="27" t="str">
        <f>VLOOKUP($D49,'Khung_CTĐT_CNTT_K30 (2024)'!$B$10:$L$96,'Ke hoach giảng dạy CNTT'!E$6,0)</f>
        <v xml:space="preserve">Nhập môn Công nghệ phần mềm </v>
      </c>
      <c r="F49" s="25">
        <f>VLOOKUP($D49,'Khung_CTĐT_CNTT_K30 (2024)'!$B$10:$L$96,'Ke hoach giảng dạy CNTT'!F$6,0)</f>
        <v>3</v>
      </c>
      <c r="G49" s="25">
        <f>VLOOKUP($D49,'Khung_CTĐT_CNTT_K30 (2024)'!$B$10:$L$96,'Ke hoach giảng dạy CNTT'!G$6,0)</f>
        <v>30</v>
      </c>
      <c r="H49" s="25">
        <f>VLOOKUP($D49,'Khung_CTĐT_CNTT_K30 (2024)'!$B$10:$L$96,'Ke hoach giảng dạy CNTT'!H$6,0)</f>
        <v>30</v>
      </c>
      <c r="I49" s="25">
        <f>VLOOKUP($D49,'Khung_CTĐT_CNTT_K30 (2024)'!$B$10:$L$96,'Ke hoach giảng dạy CNTT'!I$6,0)</f>
        <v>0</v>
      </c>
      <c r="J49" s="25">
        <f>VLOOKUP($D49,'Khung_CTĐT_CNTT_K30 (2024)'!$B$10:$L$96,'Ke hoach giảng dạy CNTT'!J$6,0)</f>
        <v>0</v>
      </c>
      <c r="K49" s="25" t="str">
        <f>VLOOKUP($D49,'Khung_CTĐT_CNTT_K30 (2024)'!$B$10:$L$96,'Ke hoach giảng dạy CNTT'!K$6,0)</f>
        <v>BB</v>
      </c>
      <c r="L49" s="28" t="str">
        <f>VLOOKUP($D49,'Khung_CTĐT_CNTT_K30 (2024)'!$B$10:$L$96,'Ke hoach giảng dạy CNTT'!L$6,0)</f>
        <v>Không</v>
      </c>
      <c r="M49" s="29" t="str">
        <f>VLOOKUP($D49,'Khung_CTĐT_CNTT_K30 (2024)'!$B$10:$L$96,'Ke hoach giảng dạy CNTT'!M$6,0)</f>
        <v>[71ITBS10103]Nhập môn công nghệ thông tin</v>
      </c>
      <c r="N49" s="115"/>
      <c r="O49" s="107"/>
      <c r="Q49" s="272">
        <f t="shared" si="5"/>
        <v>6</v>
      </c>
      <c r="R49" s="17" t="str">
        <f>IFERROR(VLOOKUP(D49,$D$9:D48,1,0),"")</f>
        <v/>
      </c>
    </row>
    <row r="50" spans="1:18" x14ac:dyDescent="0.3">
      <c r="A50" s="345"/>
      <c r="B50" s="45"/>
      <c r="C50" s="49" t="s">
        <v>59</v>
      </c>
      <c r="D50" s="49"/>
      <c r="E50" s="46"/>
      <c r="F50" s="50"/>
      <c r="G50" s="45"/>
      <c r="H50" s="45"/>
      <c r="I50" s="45"/>
      <c r="J50" s="45"/>
      <c r="K50" s="45"/>
      <c r="L50" s="47"/>
      <c r="M50" s="48"/>
      <c r="N50" s="264"/>
      <c r="O50" s="265"/>
      <c r="Q50" s="272">
        <f t="shared" si="5"/>
        <v>6</v>
      </c>
      <c r="R50" s="17" t="str">
        <f>IFERROR(VLOOKUP(D50,$D$9:D49,1,0),"")</f>
        <v/>
      </c>
    </row>
    <row r="51" spans="1:18" x14ac:dyDescent="0.3">
      <c r="A51" s="345"/>
      <c r="B51" s="25">
        <v>3</v>
      </c>
      <c r="C51" s="25">
        <v>2</v>
      </c>
      <c r="D51" s="26" t="s">
        <v>60</v>
      </c>
      <c r="E51" s="30" t="str">
        <f>VLOOKUP($D51,'Khung_CTĐT_CNTT_K30 (2024)'!$B$10:$L$96,'Ke hoach giảng dạy CNTT'!E$6,0)</f>
        <v>Nhập môn Phân tích Dữ liệu lớn</v>
      </c>
      <c r="F51" s="25">
        <f>VLOOKUP($D51,'Khung_CTĐT_CNTT_K30 (2024)'!$B$10:$L$96,'Ke hoach giảng dạy CNTT'!F$6,0)</f>
        <v>3</v>
      </c>
      <c r="G51" s="25">
        <f>VLOOKUP($D51,'Khung_CTĐT_CNTT_K30 (2024)'!$B$10:$L$96,'Ke hoach giảng dạy CNTT'!G$6,0)</f>
        <v>30</v>
      </c>
      <c r="H51" s="25">
        <f>VLOOKUP($D51,'Khung_CTĐT_CNTT_K30 (2024)'!$B$10:$L$96,'Ke hoach giảng dạy CNTT'!H$6,0)</f>
        <v>30</v>
      </c>
      <c r="I51" s="25">
        <f>VLOOKUP($D51,'Khung_CTĐT_CNTT_K30 (2024)'!$B$10:$L$96,'Ke hoach giảng dạy CNTT'!I$6,0)</f>
        <v>0</v>
      </c>
      <c r="J51" s="25">
        <f>VLOOKUP($D51,'Khung_CTĐT_CNTT_K30 (2024)'!$B$10:$L$96,'Ke hoach giảng dạy CNTT'!J$6,0)</f>
        <v>0</v>
      </c>
      <c r="K51" s="25" t="str">
        <f>VLOOKUP($D51,'Khung_CTĐT_CNTT_K30 (2024)'!$B$10:$L$96,'Ke hoach giảng dạy CNTT'!K$6,0)</f>
        <v>BB</v>
      </c>
      <c r="L51" s="28" t="str">
        <f>VLOOKUP($D51,'Khung_CTĐT_CNTT_K30 (2024)'!$B$10:$L$96,'Ke hoach giảng dạy CNTT'!L$6,0)</f>
        <v>Không</v>
      </c>
      <c r="M51" s="29" t="str">
        <f>VLOOKUP($D51,'Khung_CTĐT_CNTT_K30 (2024)'!$B$10:$L$96,'Ke hoach giảng dạy CNTT'!M$6,0)</f>
        <v>Không</v>
      </c>
      <c r="N51" s="115"/>
      <c r="O51" s="107"/>
      <c r="Q51" s="272">
        <f t="shared" si="5"/>
        <v>6</v>
      </c>
      <c r="R51" s="17" t="str">
        <f>IFERROR(VLOOKUP(D51,$D$9:D50,1,0),"")</f>
        <v/>
      </c>
    </row>
    <row r="52" spans="1:18" x14ac:dyDescent="0.3">
      <c r="A52" s="345"/>
      <c r="B52" s="45"/>
      <c r="C52" s="49" t="s">
        <v>61</v>
      </c>
      <c r="D52" s="49"/>
      <c r="E52" s="46"/>
      <c r="F52" s="50"/>
      <c r="G52" s="45"/>
      <c r="H52" s="45"/>
      <c r="I52" s="45"/>
      <c r="J52" s="45"/>
      <c r="K52" s="45"/>
      <c r="L52" s="47"/>
      <c r="M52" s="48"/>
      <c r="N52" s="264"/>
      <c r="O52" s="265"/>
      <c r="Q52" s="272">
        <f t="shared" si="5"/>
        <v>6</v>
      </c>
      <c r="R52" s="17" t="str">
        <f>IFERROR(VLOOKUP(D52,$D$9:D51,1,0),"")</f>
        <v/>
      </c>
    </row>
    <row r="53" spans="1:18" ht="23.1" customHeight="1" x14ac:dyDescent="0.3">
      <c r="A53" s="345"/>
      <c r="B53" s="25">
        <v>3</v>
      </c>
      <c r="C53" s="25">
        <v>2</v>
      </c>
      <c r="D53" s="32" t="s">
        <v>62</v>
      </c>
      <c r="E53" s="30" t="str">
        <f>VLOOKUP($D53,'Khung_CTĐT_CNTT_K30 (2024)'!$B$10:$L$96,'Ke hoach giảng dạy CNTT'!E$6,0)</f>
        <v xml:space="preserve">Nhập môn xử lý ảnh số </v>
      </c>
      <c r="F53" s="31">
        <f>VLOOKUP($D53,'Khung_CTĐT_CNTT_K30 (2024)'!$B$10:$L$96,'Ke hoach giảng dạy CNTT'!F$6,0)</f>
        <v>3</v>
      </c>
      <c r="G53" s="31">
        <f>VLOOKUP($D53,'Khung_CTĐT_CNTT_K30 (2024)'!$B$10:$L$96,'Ke hoach giảng dạy CNTT'!G$6,0)</f>
        <v>30</v>
      </c>
      <c r="H53" s="25">
        <f>VLOOKUP($D53,'Khung_CTĐT_CNTT_K30 (2024)'!$B$10:$L$96,'Ke hoach giảng dạy CNTT'!H$6,0)</f>
        <v>30</v>
      </c>
      <c r="I53" s="25">
        <f>VLOOKUP($D53,'Khung_CTĐT_CNTT_K30 (2024)'!$B$10:$L$96,'Ke hoach giảng dạy CNTT'!I$6,0)</f>
        <v>0</v>
      </c>
      <c r="J53" s="25">
        <f>VLOOKUP($D53,'Khung_CTĐT_CNTT_K30 (2024)'!$B$10:$L$96,'Ke hoach giảng dạy CNTT'!J$6,0)</f>
        <v>0</v>
      </c>
      <c r="K53" s="25" t="str">
        <f>VLOOKUP($D53,'Khung_CTĐT_CNTT_K30 (2024)'!$B$10:$L$96,'Ke hoach giảng dạy CNTT'!K$6,0)</f>
        <v>BB</v>
      </c>
      <c r="L53" s="28" t="str">
        <f>VLOOKUP($D53,'Khung_CTĐT_CNTT_K30 (2024)'!$B$10:$L$96,'Ke hoach giảng dạy CNTT'!L$6,0)</f>
        <v>Không</v>
      </c>
      <c r="M53" s="29" t="str">
        <f>VLOOKUP($D53,'Khung_CTĐT_CNTT_K30 (2024)'!$B$10:$L$96,'Ke hoach giảng dạy CNTT'!M$6,0)</f>
        <v xml:space="preserve">Không </v>
      </c>
      <c r="N53" s="115"/>
      <c r="O53" s="107"/>
      <c r="Q53" s="272">
        <f t="shared" si="5"/>
        <v>6</v>
      </c>
      <c r="R53" s="17" t="str">
        <f>IFERROR(VLOOKUP(D53,$D$9:D52,1,0),"")</f>
        <v/>
      </c>
    </row>
    <row r="54" spans="1:18" x14ac:dyDescent="0.3">
      <c r="A54" s="345"/>
      <c r="B54" s="45"/>
      <c r="C54" s="49" t="s">
        <v>63</v>
      </c>
      <c r="D54" s="49"/>
      <c r="E54" s="46"/>
      <c r="F54" s="50"/>
      <c r="G54" s="45"/>
      <c r="H54" s="45"/>
      <c r="I54" s="45"/>
      <c r="J54" s="45"/>
      <c r="K54" s="45"/>
      <c r="L54" s="47"/>
      <c r="M54" s="48"/>
      <c r="N54" s="264"/>
      <c r="O54" s="265"/>
      <c r="Q54" s="272">
        <f t="shared" si="5"/>
        <v>6</v>
      </c>
      <c r="R54" s="17" t="str">
        <f>IFERROR(VLOOKUP(D54,$D$9:D53,1,0),"")</f>
        <v/>
      </c>
    </row>
    <row r="55" spans="1:18" x14ac:dyDescent="0.3">
      <c r="A55" s="345"/>
      <c r="B55" s="25">
        <v>3</v>
      </c>
      <c r="C55" s="25">
        <v>2</v>
      </c>
      <c r="D55" s="31" t="s">
        <v>64</v>
      </c>
      <c r="E55" s="30" t="str">
        <f>VLOOKUP($D55,'Khung_CTĐT_CNTT_K30 (2024)'!$B$10:$L$96,'Ke hoach giảng dạy CNTT'!E$6,0)</f>
        <v>Nhập môn hệ thống nhúng</v>
      </c>
      <c r="F55" s="31">
        <f>VLOOKUP($D55,'Khung_CTĐT_CNTT_K30 (2024)'!$B$10:$L$96,'Ke hoach giảng dạy CNTT'!F$6,0)</f>
        <v>3</v>
      </c>
      <c r="G55" s="31">
        <f>VLOOKUP($D55,'Khung_CTĐT_CNTT_K30 (2024)'!$B$10:$L$96,'Ke hoach giảng dạy CNTT'!G$6,0)</f>
        <v>30</v>
      </c>
      <c r="H55" s="31">
        <f>VLOOKUP($D55,'Khung_CTĐT_CNTT_K30 (2024)'!$B$10:$L$96,'Ke hoach giảng dạy CNTT'!H$6,0)</f>
        <v>30</v>
      </c>
      <c r="I55" s="31">
        <f>VLOOKUP($D55,'Khung_CTĐT_CNTT_K30 (2024)'!$B$10:$L$96,'Ke hoach giảng dạy CNTT'!I$6,0)</f>
        <v>0</v>
      </c>
      <c r="J55" s="31">
        <f>VLOOKUP($D55,'Khung_CTĐT_CNTT_K30 (2024)'!$B$10:$L$96,'Ke hoach giảng dạy CNTT'!J$6,0)</f>
        <v>0</v>
      </c>
      <c r="K55" s="31" t="str">
        <f>VLOOKUP($D55,'Khung_CTĐT_CNTT_K30 (2024)'!$B$10:$L$96,'Ke hoach giảng dạy CNTT'!K$6,0)</f>
        <v>TC209</v>
      </c>
      <c r="L55" s="32" t="str">
        <f>VLOOKUP($D55,'Khung_CTĐT_CNTT_K30 (2024)'!$B$10:$L$96,'Ke hoach giảng dạy CNTT'!L$6,0)</f>
        <v>Không</v>
      </c>
      <c r="M55" s="33" t="str">
        <f>VLOOKUP($D55,'Khung_CTĐT_CNTT_K30 (2024)'!$B$10:$L$96,'Ke hoach giảng dạy CNTT'!M$6,0)</f>
        <v>Không</v>
      </c>
      <c r="N55" s="115"/>
      <c r="O55" s="107"/>
      <c r="Q55" s="272">
        <f t="shared" si="5"/>
        <v>6</v>
      </c>
      <c r="R55" s="17" t="str">
        <f>IFERROR(VLOOKUP(D55,$D$9:D54,1,0),"")</f>
        <v/>
      </c>
    </row>
    <row r="56" spans="1:18" x14ac:dyDescent="0.3">
      <c r="A56" s="345"/>
      <c r="B56" s="25">
        <v>3</v>
      </c>
      <c r="C56" s="25">
        <v>2</v>
      </c>
      <c r="D56" s="31" t="s">
        <v>65</v>
      </c>
      <c r="E56" s="30" t="str">
        <f>VLOOKUP($D56,'Khung_CTĐT_CNTT_K30 (2024)'!$B$10:$L$96,'Ke hoach giảng dạy CNTT'!E$6,0)</f>
        <v>Thiết kế giao diện người dùng</v>
      </c>
      <c r="F56" s="31">
        <f>VLOOKUP($D56,'Khung_CTĐT_CNTT_K30 (2024)'!$B$10:$L$96,'Ke hoach giảng dạy CNTT'!F$6,0)</f>
        <v>3</v>
      </c>
      <c r="G56" s="31">
        <f>VLOOKUP($D56,'Khung_CTĐT_CNTT_K30 (2024)'!$B$10:$L$96,'Ke hoach giảng dạy CNTT'!G$6,0)</f>
        <v>30</v>
      </c>
      <c r="H56" s="31">
        <f>VLOOKUP($D56,'Khung_CTĐT_CNTT_K30 (2024)'!$B$10:$L$96,'Ke hoach giảng dạy CNTT'!H$6,0)</f>
        <v>30</v>
      </c>
      <c r="I56" s="31">
        <f>VLOOKUP($D56,'Khung_CTĐT_CNTT_K30 (2024)'!$B$10:$L$96,'Ke hoach giảng dạy CNTT'!I$6,0)</f>
        <v>0</v>
      </c>
      <c r="J56" s="31">
        <f>VLOOKUP($D56,'Khung_CTĐT_CNTT_K30 (2024)'!$B$10:$L$96,'Ke hoach giảng dạy CNTT'!J$6,0)</f>
        <v>0</v>
      </c>
      <c r="K56" s="31" t="str">
        <f>VLOOKUP($D56,'Khung_CTĐT_CNTT_K30 (2024)'!$B$10:$L$96,'Ke hoach giảng dạy CNTT'!K$6,0)</f>
        <v>TC209</v>
      </c>
      <c r="L56" s="32" t="str">
        <f>VLOOKUP($D56,'Khung_CTĐT_CNTT_K30 (2024)'!$B$10:$L$96,'Ke hoach giảng dạy CNTT'!L$6,0)</f>
        <v>Không</v>
      </c>
      <c r="M56" s="33" t="str">
        <f>VLOOKUP($D56,'Khung_CTĐT_CNTT_K30 (2024)'!$B$10:$L$96,'Ke hoach giảng dạy CNTT'!M$6,0)</f>
        <v>Không</v>
      </c>
      <c r="N56" s="115"/>
      <c r="O56" s="107"/>
      <c r="Q56" s="272">
        <f t="shared" si="5"/>
        <v>6</v>
      </c>
      <c r="R56" s="17" t="str">
        <f>IFERROR(VLOOKUP(D56,$D$9:D55,1,0),"")</f>
        <v/>
      </c>
    </row>
    <row r="57" spans="1:18" x14ac:dyDescent="0.3">
      <c r="A57" s="345"/>
      <c r="B57" s="25">
        <v>3</v>
      </c>
      <c r="C57" s="25">
        <v>2</v>
      </c>
      <c r="D57" s="31" t="s">
        <v>66</v>
      </c>
      <c r="E57" s="30" t="str">
        <f>VLOOKUP($D57,'Khung_CTĐT_CNTT_K30 (2024)'!$B$10:$L$96,'Ke hoach giảng dạy CNTT'!E$6,0)</f>
        <v>Nhập môn Phân tích Dữ liệu và Học sâu</v>
      </c>
      <c r="F57" s="31">
        <f>VLOOKUP($D57,'Khung_CTĐT_CNTT_K30 (2024)'!$B$10:$L$96,'Ke hoach giảng dạy CNTT'!F$6,0)</f>
        <v>3</v>
      </c>
      <c r="G57" s="31">
        <f>VLOOKUP($D57,'Khung_CTĐT_CNTT_K30 (2024)'!$B$10:$L$96,'Ke hoach giảng dạy CNTT'!G$6,0)</f>
        <v>30</v>
      </c>
      <c r="H57" s="31">
        <f>VLOOKUP($D57,'Khung_CTĐT_CNTT_K30 (2024)'!$B$10:$L$96,'Ke hoach giảng dạy CNTT'!H$6,0)</f>
        <v>30</v>
      </c>
      <c r="I57" s="31">
        <f>VLOOKUP($D57,'Khung_CTĐT_CNTT_K30 (2024)'!$B$10:$L$96,'Ke hoach giảng dạy CNTT'!I$6,0)</f>
        <v>0</v>
      </c>
      <c r="J57" s="31">
        <f>VLOOKUP($D57,'Khung_CTĐT_CNTT_K30 (2024)'!$B$10:$L$96,'Ke hoach giảng dạy CNTT'!J$6,0)</f>
        <v>0</v>
      </c>
      <c r="K57" s="31" t="str">
        <f>VLOOKUP($D57,'Khung_CTĐT_CNTT_K30 (2024)'!$B$10:$L$96,'Ke hoach giảng dạy CNTT'!K$6,0)</f>
        <v>TC209</v>
      </c>
      <c r="L57" s="32" t="str">
        <f>VLOOKUP($D57,'Khung_CTĐT_CNTT_K30 (2024)'!$B$10:$L$96,'Ke hoach giảng dạy CNTT'!L$6,0)</f>
        <v>Không</v>
      </c>
      <c r="M57" s="33" t="str">
        <f>VLOOKUP($D57,'Khung_CTĐT_CNTT_K30 (2024)'!$B$10:$L$96,'Ke hoach giảng dạy CNTT'!M$6,0)</f>
        <v>Không</v>
      </c>
      <c r="N57" s="115"/>
      <c r="O57" s="107"/>
      <c r="Q57" s="272">
        <f t="shared" si="5"/>
        <v>6</v>
      </c>
      <c r="R57" s="17" t="str">
        <f>IFERROR(VLOOKUP(D57,$D$9:D56,1,0),"")</f>
        <v/>
      </c>
    </row>
    <row r="58" spans="1:18" ht="17.399999999999999" thickBot="1" x14ac:dyDescent="0.35">
      <c r="A58" s="346"/>
      <c r="B58" s="34"/>
      <c r="C58" s="34"/>
      <c r="D58" s="35"/>
      <c r="E58" s="57"/>
      <c r="F58" s="34"/>
      <c r="G58" s="34"/>
      <c r="H58" s="34"/>
      <c r="I58" s="34"/>
      <c r="J58" s="34"/>
      <c r="K58" s="58"/>
      <c r="L58" s="59"/>
      <c r="M58" s="36"/>
      <c r="N58" s="118"/>
      <c r="O58" s="108"/>
      <c r="Q58" s="272">
        <f t="shared" si="5"/>
        <v>6</v>
      </c>
      <c r="R58" s="17" t="str">
        <f>IFERROR(VLOOKUP(D58,$D$9:D57,1,0),"")</f>
        <v/>
      </c>
    </row>
    <row r="59" spans="1:18" ht="27.6" x14ac:dyDescent="0.3">
      <c r="A59" s="347" t="s">
        <v>67</v>
      </c>
      <c r="B59" s="61">
        <v>1</v>
      </c>
      <c r="C59" s="61">
        <v>3</v>
      </c>
      <c r="D59" s="62" t="s">
        <v>68</v>
      </c>
      <c r="E59" s="66" t="str">
        <f>VLOOKUP($D59,'Khung_CTĐT_CNTT_K30 (2024)'!$B$10:$L$96,'Ke hoach giảng dạy CNTT'!E$6,0)</f>
        <v>Anh văn 7 (AV7)</v>
      </c>
      <c r="F59" s="67">
        <f>VLOOKUP($D59,'Khung_CTĐT_CNTT_K30 (2024)'!$B$10:$L$96,'Ke hoach giảng dạy CNTT'!F$6,0)</f>
        <v>3</v>
      </c>
      <c r="G59" s="67">
        <f>VLOOKUP($D59,'Khung_CTĐT_CNTT_K30 (2024)'!$B$10:$L$96,'Ke hoach giảng dạy CNTT'!G$6,0)</f>
        <v>45</v>
      </c>
      <c r="H59" s="67">
        <f>VLOOKUP($D59,'Khung_CTĐT_CNTT_K30 (2024)'!$B$10:$L$96,'Ke hoach giảng dạy CNTT'!H$6,0)</f>
        <v>0</v>
      </c>
      <c r="I59" s="67">
        <f>VLOOKUP($D59,'Khung_CTĐT_CNTT_K30 (2024)'!$B$10:$L$96,'Ke hoach giảng dạy CNTT'!I$6,0)</f>
        <v>0</v>
      </c>
      <c r="J59" s="67">
        <f>VLOOKUP($D59,'Khung_CTĐT_CNTT_K30 (2024)'!$B$10:$L$96,'Ke hoach giảng dạy CNTT'!J$6,0)</f>
        <v>0</v>
      </c>
      <c r="K59" s="67" t="str">
        <f>VLOOKUP($D59,'Khung_CTĐT_CNTT_K30 (2024)'!$B$10:$L$96,'Ke hoach giảng dạy CNTT'!K$6,0)</f>
        <v>BB</v>
      </c>
      <c r="L59" s="68" t="str">
        <f>VLOOKUP($D59,'Khung_CTĐT_CNTT_K30 (2024)'!$B$10:$L$96,'Ke hoach giảng dạy CNTT'!L$6,0)</f>
        <v>[71ENG610063]Anh văn 6 (AV6)</v>
      </c>
      <c r="M59" s="69" t="str">
        <f>VLOOKUP($D59,'Khung_CTĐT_CNTT_K30 (2024)'!$B$10:$L$96,'Ke hoach giảng dạy CNTT'!M$6,0)</f>
        <v xml:space="preserve">Không </v>
      </c>
      <c r="N59" s="119">
        <f>SUM(F59:F61)+6+3</f>
        <v>14</v>
      </c>
      <c r="O59" s="105"/>
      <c r="P59" s="113">
        <f>P45+N59</f>
        <v>95</v>
      </c>
      <c r="Q59" s="272">
        <v>7</v>
      </c>
      <c r="R59" s="17" t="str">
        <f>IFERROR(VLOOKUP(D59,$D$9:D58,1,0),"")</f>
        <v/>
      </c>
    </row>
    <row r="60" spans="1:18" x14ac:dyDescent="0.3">
      <c r="A60" s="345"/>
      <c r="B60" s="25">
        <v>1</v>
      </c>
      <c r="C60" s="25">
        <v>3</v>
      </c>
      <c r="D60" s="26" t="s">
        <v>69</v>
      </c>
      <c r="E60" s="27" t="str">
        <f>VLOOKUP($D60,'Khung_CTĐT_CNTT_K30 (2024)'!$B$10:$L$96,'Ke hoach giảng dạy CNTT'!E$6,0)</f>
        <v>Pháp luật đại cương</v>
      </c>
      <c r="F60" s="25">
        <f>VLOOKUP($D60,'Khung_CTĐT_CNTT_K30 (2024)'!$B$10:$L$96,'Ke hoach giảng dạy CNTT'!F$6,0)</f>
        <v>2</v>
      </c>
      <c r="G60" s="25">
        <f>VLOOKUP($D60,'Khung_CTĐT_CNTT_K30 (2024)'!$B$10:$L$96,'Ke hoach giảng dạy CNTT'!G$6,0)</f>
        <v>30</v>
      </c>
      <c r="H60" s="25">
        <f>VLOOKUP($D60,'Khung_CTĐT_CNTT_K30 (2024)'!$B$10:$L$96,'Ke hoach giảng dạy CNTT'!H$6,0)</f>
        <v>0</v>
      </c>
      <c r="I60" s="25">
        <f>VLOOKUP($D60,'Khung_CTĐT_CNTT_K30 (2024)'!$B$10:$L$96,'Ke hoach giảng dạy CNTT'!I$6,0)</f>
        <v>0</v>
      </c>
      <c r="J60" s="25">
        <f>VLOOKUP($D60,'Khung_CTĐT_CNTT_K30 (2024)'!$B$10:$L$96,'Ke hoach giảng dạy CNTT'!J$6,0)</f>
        <v>0</v>
      </c>
      <c r="K60" s="25" t="str">
        <f>VLOOKUP($D60,'Khung_CTĐT_CNTT_K30 (2024)'!$B$10:$L$96,'Ke hoach giảng dạy CNTT'!K$6,0)</f>
        <v>BB</v>
      </c>
      <c r="L60" s="28" t="str">
        <f>VLOOKUP($D60,'Khung_CTĐT_CNTT_K30 (2024)'!$B$10:$L$96,'Ke hoach giảng dạy CNTT'!L$6,0)</f>
        <v>Không</v>
      </c>
      <c r="M60" s="29" t="str">
        <f>VLOOKUP($D60,'Khung_CTĐT_CNTT_K30 (2024)'!$B$10:$L$96,'Ke hoach giảng dạy CNTT'!M$6,0)</f>
        <v xml:space="preserve">Không </v>
      </c>
      <c r="N60" s="115"/>
      <c r="O60" s="96"/>
      <c r="Q60" s="272">
        <f t="shared" ref="Q60:Q75" si="6">Q59</f>
        <v>7</v>
      </c>
      <c r="R60" s="17" t="str">
        <f>IFERROR(VLOOKUP(D60,$D$9:D59,1,0),"")</f>
        <v/>
      </c>
    </row>
    <row r="61" spans="1:18" x14ac:dyDescent="0.3">
      <c r="A61" s="345"/>
      <c r="B61" s="25">
        <v>1</v>
      </c>
      <c r="C61" s="25"/>
      <c r="D61" s="26"/>
      <c r="E61" s="27"/>
      <c r="F61" s="25"/>
      <c r="G61" s="25"/>
      <c r="H61" s="25"/>
      <c r="I61" s="25"/>
      <c r="J61" s="25"/>
      <c r="K61" s="25"/>
      <c r="L61" s="28"/>
      <c r="M61" s="29"/>
      <c r="N61" s="115"/>
      <c r="O61" s="96"/>
      <c r="Q61" s="272">
        <f t="shared" si="6"/>
        <v>7</v>
      </c>
      <c r="R61" s="17" t="str">
        <f>IFERROR(VLOOKUP(D61,$D$9:D60,1,0),"")</f>
        <v/>
      </c>
    </row>
    <row r="62" spans="1:18" x14ac:dyDescent="0.3">
      <c r="A62" s="345"/>
      <c r="B62" s="45"/>
      <c r="C62" s="49" t="s">
        <v>57</v>
      </c>
      <c r="D62" s="49"/>
      <c r="E62" s="46"/>
      <c r="F62" s="45"/>
      <c r="G62" s="45"/>
      <c r="H62" s="45"/>
      <c r="I62" s="45"/>
      <c r="J62" s="45"/>
      <c r="K62" s="45"/>
      <c r="L62" s="47"/>
      <c r="M62" s="48"/>
      <c r="N62" s="264"/>
      <c r="O62" s="266"/>
      <c r="Q62" s="272">
        <f t="shared" si="6"/>
        <v>7</v>
      </c>
      <c r="R62" s="17" t="str">
        <f>IFERROR(VLOOKUP(D62,$D$9:D61,1,0),"")</f>
        <v/>
      </c>
    </row>
    <row r="63" spans="1:18" ht="21" customHeight="1" x14ac:dyDescent="0.3">
      <c r="A63" s="345"/>
      <c r="B63" s="25">
        <v>1</v>
      </c>
      <c r="C63" s="25">
        <v>3</v>
      </c>
      <c r="D63" s="26" t="s">
        <v>70</v>
      </c>
      <c r="E63" s="30" t="str">
        <f>VLOOKUP($D63,'Khung_CTĐT_CNTT_K30 (2024)'!$B$10:$L$96,'Ke hoach giảng dạy CNTT'!E$6,0)</f>
        <v xml:space="preserve">Kỹ thuật lấy yêu cầu </v>
      </c>
      <c r="F63" s="31">
        <f>VLOOKUP($D63,'Khung_CTĐT_CNTT_K30 (2024)'!$B$10:$L$96,'Ke hoach giảng dạy CNTT'!F$6,0)</f>
        <v>3</v>
      </c>
      <c r="G63" s="31">
        <f>VLOOKUP($D63,'Khung_CTĐT_CNTT_K30 (2024)'!$B$10:$L$96,'Ke hoach giảng dạy CNTT'!G$6,0)</f>
        <v>30</v>
      </c>
      <c r="H63" s="31">
        <f>VLOOKUP($D63,'Khung_CTĐT_CNTT_K30 (2024)'!$B$10:$L$96,'Ke hoach giảng dạy CNTT'!H$6,0)</f>
        <v>30</v>
      </c>
      <c r="I63" s="31">
        <f>VLOOKUP($D63,'Khung_CTĐT_CNTT_K30 (2024)'!$B$10:$L$96,'Ke hoach giảng dạy CNTT'!I$6,0)</f>
        <v>0</v>
      </c>
      <c r="J63" s="31">
        <f>VLOOKUP($D63,'Khung_CTĐT_CNTT_K30 (2024)'!$B$10:$L$96,'Ke hoach giảng dạy CNTT'!J$6,0)</f>
        <v>0</v>
      </c>
      <c r="K63" s="31" t="str">
        <f>VLOOKUP($D63,'Khung_CTĐT_CNTT_K30 (2024)'!$B$10:$L$96,'Ke hoach giảng dạy CNTT'!K$6,0)</f>
        <v>BB</v>
      </c>
      <c r="L63" s="32" t="str">
        <f>VLOOKUP($D63,'Khung_CTĐT_CNTT_K30 (2024)'!$B$10:$L$96,'Ke hoach giảng dạy CNTT'!L$6,0)</f>
        <v>Không</v>
      </c>
      <c r="M63" s="33" t="str">
        <f>VLOOKUP($D63,'Khung_CTĐT_CNTT_K30 (2024)'!$B$10:$L$96,'Ke hoach giảng dạy CNTT'!M$6,0)</f>
        <v>[71ITSE41003]Nhập môn công nghệ phần mềm</v>
      </c>
      <c r="N63" s="115"/>
      <c r="O63" s="96"/>
      <c r="Q63" s="272">
        <f t="shared" si="6"/>
        <v>7</v>
      </c>
      <c r="R63" s="17" t="str">
        <f>IFERROR(VLOOKUP(D63,$D$9:D62,1,0),"")</f>
        <v/>
      </c>
    </row>
    <row r="64" spans="1:18" ht="21" customHeight="1" x14ac:dyDescent="0.3">
      <c r="A64" s="345"/>
      <c r="B64" s="25">
        <v>1</v>
      </c>
      <c r="C64" s="25">
        <v>3</v>
      </c>
      <c r="D64" s="26" t="s">
        <v>71</v>
      </c>
      <c r="E64" s="30" t="str">
        <f>VLOOKUP($D64,'Khung_CTĐT_CNTT_K30 (2024)'!$B$10:$L$96,'Ke hoach giảng dạy CNTT'!E$6,0)</f>
        <v xml:space="preserve">Kiểm thử phần mềm </v>
      </c>
      <c r="F64" s="31">
        <f>VLOOKUP($D64,'Khung_CTĐT_CNTT_K30 (2024)'!$B$10:$L$96,'Ke hoach giảng dạy CNTT'!F$6,0)</f>
        <v>3</v>
      </c>
      <c r="G64" s="31">
        <f>VLOOKUP($D64,'Khung_CTĐT_CNTT_K30 (2024)'!$B$10:$L$96,'Ke hoach giảng dạy CNTT'!G$6,0)</f>
        <v>30</v>
      </c>
      <c r="H64" s="31">
        <f>VLOOKUP($D64,'Khung_CTĐT_CNTT_K30 (2024)'!$B$10:$L$96,'Ke hoach giảng dạy CNTT'!H$6,0)</f>
        <v>30</v>
      </c>
      <c r="I64" s="31">
        <f>VLOOKUP($D64,'Khung_CTĐT_CNTT_K30 (2024)'!$B$10:$L$96,'Ke hoach giảng dạy CNTT'!I$6,0)</f>
        <v>0</v>
      </c>
      <c r="J64" s="31">
        <f>VLOOKUP($D64,'Khung_CTĐT_CNTT_K30 (2024)'!$B$10:$L$96,'Ke hoach giảng dạy CNTT'!J$6,0)</f>
        <v>0</v>
      </c>
      <c r="K64" s="31" t="str">
        <f>VLOOKUP($D64,'Khung_CTĐT_CNTT_K30 (2024)'!$B$10:$L$96,'Ke hoach giảng dạy CNTT'!K$6,0)</f>
        <v>BB</v>
      </c>
      <c r="L64" s="32" t="str">
        <f>VLOOKUP($D64,'Khung_CTĐT_CNTT_K30 (2024)'!$B$10:$L$96,'Ke hoach giảng dạy CNTT'!L$6,0)</f>
        <v>Không</v>
      </c>
      <c r="M64" s="33" t="str">
        <f>VLOOKUP($D64,'Khung_CTĐT_CNTT_K30 (2024)'!$B$10:$L$96,'Ke hoach giảng dạy CNTT'!M$6,0)</f>
        <v>[71ITSE41003]Nhập môn công nghệ phần mềm</v>
      </c>
      <c r="N64" s="115"/>
      <c r="O64" s="96"/>
      <c r="Q64" s="272">
        <f t="shared" si="6"/>
        <v>7</v>
      </c>
      <c r="R64" s="17" t="str">
        <f>IFERROR(VLOOKUP(D64,$D$9:D63,1,0),"")</f>
        <v/>
      </c>
    </row>
    <row r="65" spans="1:18" x14ac:dyDescent="0.3">
      <c r="A65" s="345"/>
      <c r="B65" s="98"/>
      <c r="C65" s="99" t="s">
        <v>59</v>
      </c>
      <c r="D65" s="99"/>
      <c r="E65" s="100"/>
      <c r="F65" s="98"/>
      <c r="G65" s="98"/>
      <c r="H65" s="98"/>
      <c r="I65" s="98"/>
      <c r="J65" s="98"/>
      <c r="K65" s="98"/>
      <c r="L65" s="101"/>
      <c r="M65" s="102"/>
      <c r="N65" s="264"/>
      <c r="O65" s="266"/>
      <c r="Q65" s="272">
        <f t="shared" si="6"/>
        <v>7</v>
      </c>
      <c r="R65" s="17" t="str">
        <f>IFERROR(VLOOKUP(D65,$D$9:D64,1,0),"")</f>
        <v/>
      </c>
    </row>
    <row r="66" spans="1:18" ht="21.6" customHeight="1" x14ac:dyDescent="0.3">
      <c r="A66" s="345"/>
      <c r="B66" s="25">
        <v>1</v>
      </c>
      <c r="C66" s="25">
        <v>3</v>
      </c>
      <c r="D66" s="26" t="s">
        <v>72</v>
      </c>
      <c r="E66" s="30" t="str">
        <f>VLOOKUP($D66,'Khung_CTĐT_CNTT_K30 (2024)'!$B$10:$L$96,'Ke hoach giảng dạy CNTT'!E$6,0)</f>
        <v xml:space="preserve">Nhập môn học máy </v>
      </c>
      <c r="F66" s="31">
        <f>VLOOKUP($D66,'Khung_CTĐT_CNTT_K30 (2024)'!$B$10:$L$96,'Ke hoach giảng dạy CNTT'!F$6,0)</f>
        <v>3</v>
      </c>
      <c r="G66" s="31">
        <f>VLOOKUP($D66,'Khung_CTĐT_CNTT_K30 (2024)'!$B$10:$L$96,'Ke hoach giảng dạy CNTT'!G$6,0)</f>
        <v>30</v>
      </c>
      <c r="H66" s="31">
        <f>VLOOKUP($D66,'Khung_CTĐT_CNTT_K30 (2024)'!$B$10:$L$96,'Ke hoach giảng dạy CNTT'!H$6,0)</f>
        <v>30</v>
      </c>
      <c r="I66" s="31">
        <f>VLOOKUP($D66,'Khung_CTĐT_CNTT_K30 (2024)'!$B$10:$L$96,'Ke hoach giảng dạy CNTT'!I$6,0)</f>
        <v>0</v>
      </c>
      <c r="J66" s="31">
        <f>VLOOKUP($D66,'Khung_CTĐT_CNTT_K30 (2024)'!$B$10:$L$96,'Ke hoach giảng dạy CNTT'!J$6,0)</f>
        <v>0</v>
      </c>
      <c r="K66" s="31" t="str">
        <f>VLOOKUP($D66,'Khung_CTĐT_CNTT_K30 (2024)'!$B$10:$L$96,'Ke hoach giảng dạy CNTT'!K$6,0)</f>
        <v>BB</v>
      </c>
      <c r="L66" s="32" t="str">
        <f>VLOOKUP($D66,'Khung_CTĐT_CNTT_K30 (2024)'!$B$10:$L$96,'Ke hoach giảng dạy CNTT'!L$6,0)</f>
        <v>Không</v>
      </c>
      <c r="M66" s="33" t="str">
        <f>VLOOKUP($D66,'Khung_CTĐT_CNTT_K30 (2024)'!$B$10:$L$96,'Ke hoach giảng dạy CNTT'!M$6,0)</f>
        <v>[71ITDS40203]Xác xuất thống kê ứng dụng</v>
      </c>
      <c r="N66" s="115"/>
      <c r="O66" s="96"/>
      <c r="Q66" s="272">
        <f t="shared" si="6"/>
        <v>7</v>
      </c>
      <c r="R66" s="17" t="str">
        <f>IFERROR(VLOOKUP(D66,$D$9:D65,1,0),"")</f>
        <v/>
      </c>
    </row>
    <row r="67" spans="1:18" ht="21.6" customHeight="1" x14ac:dyDescent="0.3">
      <c r="A67" s="345"/>
      <c r="B67" s="25">
        <v>1</v>
      </c>
      <c r="C67" s="25">
        <v>3</v>
      </c>
      <c r="D67" s="26" t="s">
        <v>73</v>
      </c>
      <c r="E67" s="30" t="str">
        <f>VLOOKUP($D67,'Khung_CTĐT_CNTT_K30 (2024)'!$B$10:$L$96,'Ke hoach giảng dạy CNTT'!E$6,0)</f>
        <v xml:space="preserve">Các hệ hỗ trợ ra quyết định </v>
      </c>
      <c r="F67" s="31">
        <f>VLOOKUP($D67,'Khung_CTĐT_CNTT_K30 (2024)'!$B$10:$L$96,'Ke hoach giảng dạy CNTT'!F$6,0)</f>
        <v>3</v>
      </c>
      <c r="G67" s="31">
        <f>VLOOKUP($D67,'Khung_CTĐT_CNTT_K30 (2024)'!$B$10:$L$96,'Ke hoach giảng dạy CNTT'!G$6,0)</f>
        <v>30</v>
      </c>
      <c r="H67" s="31">
        <f>VLOOKUP($D67,'Khung_CTĐT_CNTT_K30 (2024)'!$B$10:$L$96,'Ke hoach giảng dạy CNTT'!H$6,0)</f>
        <v>30</v>
      </c>
      <c r="I67" s="31">
        <f>VLOOKUP($D67,'Khung_CTĐT_CNTT_K30 (2024)'!$B$10:$L$96,'Ke hoach giảng dạy CNTT'!I$6,0)</f>
        <v>0</v>
      </c>
      <c r="J67" s="31">
        <f>VLOOKUP($D67,'Khung_CTĐT_CNTT_K30 (2024)'!$B$10:$L$96,'Ke hoach giảng dạy CNTT'!J$6,0)</f>
        <v>0</v>
      </c>
      <c r="K67" s="31" t="str">
        <f>VLOOKUP($D67,'Khung_CTĐT_CNTT_K30 (2024)'!$B$10:$L$96,'Ke hoach giảng dạy CNTT'!K$6,0)</f>
        <v>BB</v>
      </c>
      <c r="L67" s="32" t="str">
        <f>VLOOKUP($D67,'Khung_CTĐT_CNTT_K30 (2024)'!$B$10:$L$96,'Ke hoach giảng dạy CNTT'!L$6,0)</f>
        <v>Không</v>
      </c>
      <c r="M67" s="33" t="str">
        <f>VLOOKUP($D67,'Khung_CTĐT_CNTT_K30 (2024)'!$B$10:$L$96,'Ke hoach giảng dạy CNTT'!M$6,0)</f>
        <v>Không</v>
      </c>
      <c r="N67" s="115"/>
      <c r="O67" s="96"/>
      <c r="Q67" s="272">
        <f t="shared" si="6"/>
        <v>7</v>
      </c>
      <c r="R67" s="17" t="str">
        <f>IFERROR(VLOOKUP(D67,$D$9:D66,1,0),"")</f>
        <v/>
      </c>
    </row>
    <row r="68" spans="1:18" x14ac:dyDescent="0.3">
      <c r="A68" s="345"/>
      <c r="B68" s="45"/>
      <c r="C68" s="49" t="s">
        <v>61</v>
      </c>
      <c r="D68" s="49"/>
      <c r="E68" s="46"/>
      <c r="F68" s="50"/>
      <c r="G68" s="45"/>
      <c r="H68" s="45"/>
      <c r="I68" s="45"/>
      <c r="J68" s="45"/>
      <c r="K68" s="45"/>
      <c r="L68" s="47"/>
      <c r="M68" s="48"/>
      <c r="N68" s="264"/>
      <c r="O68" s="266"/>
      <c r="Q68" s="272">
        <f t="shared" si="6"/>
        <v>7</v>
      </c>
      <c r="R68" s="17" t="str">
        <f>IFERROR(VLOOKUP(D68,$D$9:D67,1,0),"")</f>
        <v/>
      </c>
    </row>
    <row r="69" spans="1:18" x14ac:dyDescent="0.3">
      <c r="A69" s="345"/>
      <c r="B69" s="25">
        <v>1</v>
      </c>
      <c r="C69" s="25">
        <v>3</v>
      </c>
      <c r="D69" s="32" t="s">
        <v>74</v>
      </c>
      <c r="E69" s="30" t="str">
        <f>VLOOKUP($D69,'Khung_CTĐT_CNTT_K30 (2024)'!$B$10:$L$96,'Ke hoach giảng dạy CNTT'!E$6,0)</f>
        <v>Học máy ứng dụng</v>
      </c>
      <c r="F69" s="25">
        <f>VLOOKUP($D69,'Khung_CTĐT_CNTT_K30 (2024)'!$B$10:$L$96,'Ke hoach giảng dạy CNTT'!F$6,0)</f>
        <v>3</v>
      </c>
      <c r="G69" s="25">
        <f>VLOOKUP($D69,'Khung_CTĐT_CNTT_K30 (2024)'!$B$10:$L$96,'Ke hoach giảng dạy CNTT'!G$6,0)</f>
        <v>30</v>
      </c>
      <c r="H69" s="25">
        <f>VLOOKUP($D69,'Khung_CTĐT_CNTT_K30 (2024)'!$B$10:$L$96,'Ke hoach giảng dạy CNTT'!H$6,0)</f>
        <v>30</v>
      </c>
      <c r="I69" s="25">
        <f>VLOOKUP($D69,'Khung_CTĐT_CNTT_K30 (2024)'!$B$10:$L$96,'Ke hoach giảng dạy CNTT'!I$6,0)</f>
        <v>0</v>
      </c>
      <c r="J69" s="25">
        <f>VLOOKUP($D69,'Khung_CTĐT_CNTT_K30 (2024)'!$B$10:$L$96,'Ke hoach giảng dạy CNTT'!J$6,0)</f>
        <v>0</v>
      </c>
      <c r="K69" s="25" t="str">
        <f>VLOOKUP($D69,'Khung_CTĐT_CNTT_K30 (2024)'!$B$10:$L$96,'Ke hoach giảng dạy CNTT'!K$6,0)</f>
        <v>BB</v>
      </c>
      <c r="L69" s="28" t="str">
        <f>VLOOKUP($D69,'Khung_CTĐT_CNTT_K30 (2024)'!$B$10:$L$96,'Ke hoach giảng dạy CNTT'!L$6,0)</f>
        <v>Không</v>
      </c>
      <c r="M69" s="29" t="str">
        <f>VLOOKUP($D69,'Khung_CTĐT_CNTT_K30 (2024)'!$B$10:$L$96,'Ke hoach giảng dạy CNTT'!M$6,0)</f>
        <v>[71ITDS40203]Xác xuất thống kê ứng dụng</v>
      </c>
      <c r="N69" s="115"/>
      <c r="O69" s="96"/>
      <c r="Q69" s="272">
        <f t="shared" si="6"/>
        <v>7</v>
      </c>
      <c r="R69" s="17" t="str">
        <f>IFERROR(VLOOKUP(D69,$D$9:D68,1,0),"")</f>
        <v/>
      </c>
    </row>
    <row r="70" spans="1:18" x14ac:dyDescent="0.3">
      <c r="A70" s="345"/>
      <c r="B70" s="25">
        <v>1</v>
      </c>
      <c r="C70" s="25">
        <v>3</v>
      </c>
      <c r="D70" s="32" t="s">
        <v>75</v>
      </c>
      <c r="E70" s="30" t="str">
        <f>VLOOKUP($D70,'Khung_CTĐT_CNTT_K30 (2024)'!$B$10:$L$96,'Ke hoach giảng dạy CNTT'!E$6,0)</f>
        <v>Trí tuệ nhân tạo ứng dụng</v>
      </c>
      <c r="F70" s="25">
        <f>VLOOKUP($D70,'Khung_CTĐT_CNTT_K30 (2024)'!$B$10:$L$96,'Ke hoach giảng dạy CNTT'!F$6,0)</f>
        <v>3</v>
      </c>
      <c r="G70" s="25">
        <f>VLOOKUP($D70,'Khung_CTĐT_CNTT_K30 (2024)'!$B$10:$L$96,'Ke hoach giảng dạy CNTT'!G$6,0)</f>
        <v>30</v>
      </c>
      <c r="H70" s="25">
        <f>VLOOKUP($D70,'Khung_CTĐT_CNTT_K30 (2024)'!$B$10:$L$96,'Ke hoach giảng dạy CNTT'!H$6,0)</f>
        <v>30</v>
      </c>
      <c r="I70" s="25">
        <f>VLOOKUP($D70,'Khung_CTĐT_CNTT_K30 (2024)'!$B$10:$L$96,'Ke hoach giảng dạy CNTT'!I$6,0)</f>
        <v>0</v>
      </c>
      <c r="J70" s="25">
        <f>VLOOKUP($D70,'Khung_CTĐT_CNTT_K30 (2024)'!$B$10:$L$96,'Ke hoach giảng dạy CNTT'!J$6,0)</f>
        <v>0</v>
      </c>
      <c r="K70" s="25" t="str">
        <f>VLOOKUP($D70,'Khung_CTĐT_CNTT_K30 (2024)'!$B$10:$L$96,'Ke hoach giảng dạy CNTT'!K$6,0)</f>
        <v>BB</v>
      </c>
      <c r="L70" s="28" t="str">
        <f>VLOOKUP($D70,'Khung_CTĐT_CNTT_K30 (2024)'!$B$10:$L$96,'Ke hoach giảng dạy CNTT'!L$6,0)</f>
        <v>Không</v>
      </c>
      <c r="M70" s="29" t="str">
        <f>VLOOKUP($D70,'Khung_CTĐT_CNTT_K30 (2024)'!$B$10:$L$96,'Ke hoach giảng dạy CNTT'!M$6,0)</f>
        <v>[71ITDS40203]Xác xuất thống kê ứng dụng</v>
      </c>
      <c r="N70" s="115"/>
      <c r="O70" s="96"/>
      <c r="Q70" s="272">
        <f t="shared" si="6"/>
        <v>7</v>
      </c>
      <c r="R70" s="17" t="str">
        <f>IFERROR(VLOOKUP(D70,$D$9:D69,1,0),"")</f>
        <v/>
      </c>
    </row>
    <row r="71" spans="1:18" x14ac:dyDescent="0.3">
      <c r="A71" s="345"/>
      <c r="B71" s="45"/>
      <c r="C71" s="49" t="s">
        <v>76</v>
      </c>
      <c r="D71" s="99"/>
      <c r="E71" s="100"/>
      <c r="F71" s="50"/>
      <c r="G71" s="45"/>
      <c r="H71" s="45"/>
      <c r="I71" s="45"/>
      <c r="J71" s="45"/>
      <c r="K71" s="45"/>
      <c r="L71" s="47"/>
      <c r="M71" s="48"/>
      <c r="N71" s="264"/>
      <c r="O71" s="266"/>
      <c r="Q71" s="272">
        <f t="shared" si="6"/>
        <v>7</v>
      </c>
      <c r="R71" s="17" t="str">
        <f>IFERROR(VLOOKUP(D71,$D$9:D70,1,0),"")</f>
        <v/>
      </c>
    </row>
    <row r="72" spans="1:18" x14ac:dyDescent="0.3">
      <c r="A72" s="345"/>
      <c r="B72" s="25">
        <v>1</v>
      </c>
      <c r="C72" s="25">
        <v>3</v>
      </c>
      <c r="D72" s="26" t="s">
        <v>77</v>
      </c>
      <c r="E72" s="30" t="str">
        <f>VLOOKUP($D72,'Khung_CTĐT_CNTT_K30 (2024)'!$B$10:$L$96,'Ke hoach giảng dạy CNTT'!E$6,0)</f>
        <v xml:space="preserve">Lập trình ứng dụng di động </v>
      </c>
      <c r="F72" s="25">
        <f>VLOOKUP($D72,'Khung_CTĐT_CNTT_K30 (2024)'!$B$10:$L$96,'Ke hoach giảng dạy CNTT'!F$6,0)</f>
        <v>3</v>
      </c>
      <c r="G72" s="25">
        <f>VLOOKUP($D72,'Khung_CTĐT_CNTT_K30 (2024)'!$B$10:$L$96,'Ke hoach giảng dạy CNTT'!G$6,0)</f>
        <v>30</v>
      </c>
      <c r="H72" s="25">
        <f>VLOOKUP($D72,'Khung_CTĐT_CNTT_K30 (2024)'!$B$10:$L$96,'Ke hoach giảng dạy CNTT'!H$6,0)</f>
        <v>30</v>
      </c>
      <c r="I72" s="25">
        <f>VLOOKUP($D72,'Khung_CTĐT_CNTT_K30 (2024)'!$B$10:$L$96,'Ke hoach giảng dạy CNTT'!I$6,0)</f>
        <v>0</v>
      </c>
      <c r="J72" s="25">
        <f>VLOOKUP($D72,'Khung_CTĐT_CNTT_K30 (2024)'!$B$10:$L$96,'Ke hoach giảng dạy CNTT'!J$6,0)</f>
        <v>0</v>
      </c>
      <c r="K72" s="25" t="str">
        <f>VLOOKUP($D72,'Khung_CTĐT_CNTT_K30 (2024)'!$B$10:$L$96,'Ke hoach giảng dạy CNTT'!K$6,0)</f>
        <v>TC309</v>
      </c>
      <c r="L72" s="28" t="str">
        <f>VLOOKUP($D72,'Khung_CTĐT_CNTT_K30 (2024)'!$B$10:$L$96,'Ke hoach giảng dạy CNTT'!L$6,0)</f>
        <v>Không</v>
      </c>
      <c r="M72" s="29" t="str">
        <f>VLOOKUP($D72,'Khung_CTĐT_CNTT_K30 (2024)'!$B$10:$L$96,'Ke hoach giảng dạy CNTT'!M$6,0)</f>
        <v>[71ITBS10203]Cơ sở lập trình</v>
      </c>
      <c r="N72" s="115"/>
      <c r="O72" s="96"/>
      <c r="Q72" s="272">
        <f t="shared" si="6"/>
        <v>7</v>
      </c>
      <c r="R72" s="17" t="str">
        <f>IFERROR(VLOOKUP(D72,$D$9:D71,1,0),"")</f>
        <v/>
      </c>
    </row>
    <row r="73" spans="1:18" x14ac:dyDescent="0.3">
      <c r="A73" s="345"/>
      <c r="B73" s="25">
        <v>1</v>
      </c>
      <c r="C73" s="25">
        <v>3</v>
      </c>
      <c r="D73" s="26" t="s">
        <v>78</v>
      </c>
      <c r="E73" s="30" t="str">
        <f>VLOOKUP($D73,'Khung_CTĐT_CNTT_K30 (2024)'!$B$10:$L$96,'Ke hoach giảng dạy CNTT'!E$6,0)</f>
        <v>Nhập môn tối ưu hóa</v>
      </c>
      <c r="F73" s="31">
        <f>VLOOKUP($D73,'Khung_CTĐT_CNTT_K30 (2024)'!$B$10:$L$96,'Ke hoach giảng dạy CNTT'!F$6,0)</f>
        <v>3</v>
      </c>
      <c r="G73" s="31">
        <f>VLOOKUP($D73,'Khung_CTĐT_CNTT_K30 (2024)'!$B$10:$L$96,'Ke hoach giảng dạy CNTT'!G$6,0)</f>
        <v>30</v>
      </c>
      <c r="H73" s="31">
        <f>VLOOKUP($D73,'Khung_CTĐT_CNTT_K30 (2024)'!$B$10:$L$96,'Ke hoach giảng dạy CNTT'!H$6,0)</f>
        <v>30</v>
      </c>
      <c r="I73" s="31">
        <f>VLOOKUP($D73,'Khung_CTĐT_CNTT_K30 (2024)'!$B$10:$L$96,'Ke hoach giảng dạy CNTT'!I$6,0)</f>
        <v>0</v>
      </c>
      <c r="J73" s="31">
        <f>VLOOKUP($D73,'Khung_CTĐT_CNTT_K30 (2024)'!$B$10:$L$96,'Ke hoach giảng dạy CNTT'!J$6,0)</f>
        <v>0</v>
      </c>
      <c r="K73" s="31" t="str">
        <f>VLOOKUP($D73,'Khung_CTĐT_CNTT_K30 (2024)'!$B$10:$L$96,'Ke hoach giảng dạy CNTT'!K$6,0)</f>
        <v>TC309</v>
      </c>
      <c r="L73" s="32" t="str">
        <f>VLOOKUP($D73,'Khung_CTĐT_CNTT_K30 (2024)'!$B$10:$L$96,'Ke hoach giảng dạy CNTT'!L$6,0)</f>
        <v>Không</v>
      </c>
      <c r="M73" s="29" t="str">
        <f>VLOOKUP($D73,'Khung_CTĐT_CNTT_K30 (2024)'!$B$10:$L$96,'Ke hoach giảng dạy CNTT'!M$6,0)</f>
        <v>Không</v>
      </c>
      <c r="N73" s="115"/>
      <c r="O73" s="96"/>
      <c r="Q73" s="272">
        <f t="shared" si="6"/>
        <v>7</v>
      </c>
      <c r="R73" s="17" t="str">
        <f>IFERROR(VLOOKUP(D73,$D$9:D72,1,0),"")</f>
        <v/>
      </c>
    </row>
    <row r="74" spans="1:18" ht="27.6" x14ac:dyDescent="0.3">
      <c r="A74" s="345"/>
      <c r="B74" s="25">
        <v>1</v>
      </c>
      <c r="C74" s="25">
        <v>3</v>
      </c>
      <c r="D74" s="26" t="s">
        <v>79</v>
      </c>
      <c r="E74" s="30" t="str">
        <f>VLOOKUP($D74,'Khung_CTĐT_CNTT_K30 (2024)'!$B$10:$L$96,'Ke hoach giảng dạy CNTT'!E$6,0)</f>
        <v>Lập trình Hệ thống nhúng và Mạng kết nối vạn vật</v>
      </c>
      <c r="F74" s="31">
        <f>VLOOKUP($D74,'Khung_CTĐT_CNTT_K30 (2024)'!$B$10:$L$96,'Ke hoach giảng dạy CNTT'!F$6,0)</f>
        <v>3</v>
      </c>
      <c r="G74" s="31">
        <f>VLOOKUP($D74,'Khung_CTĐT_CNTT_K30 (2024)'!$B$10:$L$96,'Ke hoach giảng dạy CNTT'!G$6,0)</f>
        <v>30</v>
      </c>
      <c r="H74" s="31">
        <f>VLOOKUP($D74,'Khung_CTĐT_CNTT_K30 (2024)'!$B$10:$L$96,'Ke hoach giảng dạy CNTT'!H$6,0)</f>
        <v>30</v>
      </c>
      <c r="I74" s="31">
        <f>VLOOKUP($D74,'Khung_CTĐT_CNTT_K30 (2024)'!$B$10:$L$96,'Ke hoach giảng dạy CNTT'!I$6,0)</f>
        <v>0</v>
      </c>
      <c r="J74" s="31">
        <f>VLOOKUP($D74,'Khung_CTĐT_CNTT_K30 (2024)'!$B$10:$L$96,'Ke hoach giảng dạy CNTT'!J$6,0)</f>
        <v>0</v>
      </c>
      <c r="K74" s="31" t="str">
        <f>VLOOKUP($D74,'Khung_CTĐT_CNTT_K30 (2024)'!$B$10:$L$96,'Ke hoach giảng dạy CNTT'!K$6,0)</f>
        <v>TC309</v>
      </c>
      <c r="L74" s="32" t="str">
        <f>VLOOKUP($D74,'Khung_CTĐT_CNTT_K30 (2024)'!$B$10:$L$96,'Ke hoach giảng dạy CNTT'!L$6,0)</f>
        <v>Không</v>
      </c>
      <c r="M74" s="29" t="str">
        <f>VLOOKUP($D74,'Khung_CTĐT_CNTT_K30 (2024)'!$B$10:$L$96,'Ke hoach giảng dạy CNTT'!M$6,0)</f>
        <v xml:space="preserve">Không </v>
      </c>
      <c r="N74" s="115"/>
      <c r="O74" s="96"/>
      <c r="Q74" s="272">
        <f t="shared" si="6"/>
        <v>7</v>
      </c>
      <c r="R74" s="17" t="str">
        <f>IFERROR(VLOOKUP(D74,$D$9:D73,1,0),"")</f>
        <v/>
      </c>
    </row>
    <row r="75" spans="1:18" ht="17.399999999999999" thickBot="1" x14ac:dyDescent="0.35">
      <c r="A75" s="345"/>
      <c r="B75" s="39">
        <v>1</v>
      </c>
      <c r="C75" s="39"/>
      <c r="D75" s="109"/>
      <c r="E75" s="110"/>
      <c r="F75" s="39"/>
      <c r="G75" s="39"/>
      <c r="H75" s="39"/>
      <c r="I75" s="39"/>
      <c r="J75" s="39"/>
      <c r="K75" s="39"/>
      <c r="L75" s="103"/>
      <c r="M75" s="51"/>
      <c r="N75" s="116"/>
      <c r="O75" s="104"/>
      <c r="Q75" s="272">
        <f t="shared" si="6"/>
        <v>7</v>
      </c>
      <c r="R75" s="17" t="str">
        <f>IFERROR(VLOOKUP(D75,$D$9:D74,1,0),"")</f>
        <v/>
      </c>
    </row>
    <row r="76" spans="1:18" x14ac:dyDescent="0.3">
      <c r="A76" s="344" t="s">
        <v>80</v>
      </c>
      <c r="B76" s="52"/>
      <c r="C76" s="52"/>
      <c r="D76" s="111"/>
      <c r="E76" s="112"/>
      <c r="F76" s="52"/>
      <c r="G76" s="52"/>
      <c r="H76" s="52"/>
      <c r="I76" s="52"/>
      <c r="J76" s="52"/>
      <c r="K76" s="52"/>
      <c r="L76" s="64"/>
      <c r="M76" s="65"/>
      <c r="N76" s="117">
        <f>9+6</f>
        <v>15</v>
      </c>
      <c r="O76" s="106"/>
      <c r="P76" s="113">
        <f>P59+N76</f>
        <v>110</v>
      </c>
      <c r="Q76" s="272">
        <v>8</v>
      </c>
      <c r="R76" s="17" t="str">
        <f>IFERROR(VLOOKUP(D76,$D$9:D75,1,0),"")</f>
        <v/>
      </c>
    </row>
    <row r="77" spans="1:18" x14ac:dyDescent="0.3">
      <c r="A77" s="345"/>
      <c r="B77" s="45"/>
      <c r="C77" s="49" t="s">
        <v>57</v>
      </c>
      <c r="D77" s="49"/>
      <c r="E77" s="46"/>
      <c r="F77" s="45"/>
      <c r="G77" s="45"/>
      <c r="H77" s="45"/>
      <c r="I77" s="45"/>
      <c r="J77" s="45"/>
      <c r="K77" s="45"/>
      <c r="L77" s="47"/>
      <c r="M77" s="48"/>
      <c r="N77" s="264"/>
      <c r="O77" s="265"/>
      <c r="Q77" s="272">
        <f t="shared" ref="Q77:Q93" si="7">Q76</f>
        <v>8</v>
      </c>
      <c r="R77" s="17" t="str">
        <f>IFERROR(VLOOKUP(D77,$D$9:D76,1,0),"")</f>
        <v/>
      </c>
    </row>
    <row r="78" spans="1:18" ht="23.1" customHeight="1" x14ac:dyDescent="0.3">
      <c r="A78" s="345"/>
      <c r="B78" s="25">
        <v>2</v>
      </c>
      <c r="C78" s="25">
        <v>3</v>
      </c>
      <c r="D78" s="26" t="s">
        <v>81</v>
      </c>
      <c r="E78" s="30" t="str">
        <f>VLOOKUP($D78,'Khung_CTĐT_CNTT_K30 (2024)'!$B$10:$L$96,'Ke hoach giảng dạy CNTT'!E$6,0)</f>
        <v xml:space="preserve">Lập trình Web nâng cao </v>
      </c>
      <c r="F78" s="31">
        <f>VLOOKUP($D78,'Khung_CTĐT_CNTT_K30 (2024)'!$B$10:$L$96,'Ke hoach giảng dạy CNTT'!F$6,0)</f>
        <v>3</v>
      </c>
      <c r="G78" s="31">
        <f>VLOOKUP($D78,'Khung_CTĐT_CNTT_K30 (2024)'!$B$10:$L$96,'Ke hoach giảng dạy CNTT'!G$6,0)</f>
        <v>30</v>
      </c>
      <c r="H78" s="31">
        <f>VLOOKUP($D78,'Khung_CTĐT_CNTT_K30 (2024)'!$B$10:$L$96,'Ke hoach giảng dạy CNTT'!H$6,0)</f>
        <v>30</v>
      </c>
      <c r="I78" s="31">
        <f>VLOOKUP($D78,'Khung_CTĐT_CNTT_K30 (2024)'!$B$10:$L$96,'Ke hoach giảng dạy CNTT'!I$6,0)</f>
        <v>0</v>
      </c>
      <c r="J78" s="31">
        <f>VLOOKUP($D78,'Khung_CTĐT_CNTT_K30 (2024)'!$B$10:$L$96,'Ke hoach giảng dạy CNTT'!J$6,0)</f>
        <v>0</v>
      </c>
      <c r="K78" s="31" t="str">
        <f>VLOOKUP($D78,'Khung_CTĐT_CNTT_K30 (2024)'!$B$10:$L$96,'Ke hoach giảng dạy CNTT'!K$6,0)</f>
        <v>BB</v>
      </c>
      <c r="L78" s="32" t="str">
        <f>VLOOKUP($D78,'Khung_CTĐT_CNTT_K30 (2024)'!$B$10:$L$96,'Ke hoach giảng dạy CNTT'!L$6,0)</f>
        <v>Không</v>
      </c>
      <c r="M78" s="33" t="str">
        <f>VLOOKUP($D78,'Khung_CTĐT_CNTT_K30 (2024)'!$B$10:$L$96,'Ke hoach giảng dạy CNTT'!M$6,0)</f>
        <v>[71ITSE30503]Lập trình ứng dụng web</v>
      </c>
      <c r="N78" s="115"/>
      <c r="O78" s="107"/>
      <c r="Q78" s="272">
        <f t="shared" si="7"/>
        <v>8</v>
      </c>
      <c r="R78" s="17" t="str">
        <f>IFERROR(VLOOKUP(D78,$D$9:D77,1,0),"")</f>
        <v/>
      </c>
    </row>
    <row r="79" spans="1:18" ht="27.6" x14ac:dyDescent="0.3">
      <c r="A79" s="345"/>
      <c r="B79" s="25">
        <v>2</v>
      </c>
      <c r="C79" s="25">
        <v>3</v>
      </c>
      <c r="D79" s="26" t="s">
        <v>82</v>
      </c>
      <c r="E79" s="30" t="str">
        <f>VLOOKUP($D79,'Khung_CTĐT_CNTT_K30 (2024)'!$B$10:$L$96,'Ke hoach giảng dạy CNTT'!E$6,0)</f>
        <v xml:space="preserve">Phân tích và thiết kế hệ thống theo Hướng đối tượng </v>
      </c>
      <c r="F79" s="31">
        <f>VLOOKUP($D79,'Khung_CTĐT_CNTT_K30 (2024)'!$B$10:$L$96,'Ke hoach giảng dạy CNTT'!F$6,0)</f>
        <v>3</v>
      </c>
      <c r="G79" s="31">
        <f>VLOOKUP($D79,'Khung_CTĐT_CNTT_K30 (2024)'!$B$10:$L$96,'Ke hoach giảng dạy CNTT'!G$6,0)</f>
        <v>30</v>
      </c>
      <c r="H79" s="31">
        <f>VLOOKUP($D79,'Khung_CTĐT_CNTT_K30 (2024)'!$B$10:$L$96,'Ke hoach giảng dạy CNTT'!H$6,0)</f>
        <v>30</v>
      </c>
      <c r="I79" s="31">
        <f>VLOOKUP($D79,'Khung_CTĐT_CNTT_K30 (2024)'!$B$10:$L$96,'Ke hoach giảng dạy CNTT'!I$6,0)</f>
        <v>0</v>
      </c>
      <c r="J79" s="31">
        <f>VLOOKUP($D79,'Khung_CTĐT_CNTT_K30 (2024)'!$B$10:$L$96,'Ke hoach giảng dạy CNTT'!J$6,0)</f>
        <v>0</v>
      </c>
      <c r="K79" s="31" t="str">
        <f>VLOOKUP($D79,'Khung_CTĐT_CNTT_K30 (2024)'!$B$10:$L$96,'Ke hoach giảng dạy CNTT'!K$6,0)</f>
        <v>BB</v>
      </c>
      <c r="L79" s="32" t="str">
        <f>VLOOKUP($D79,'Khung_CTĐT_CNTT_K30 (2024)'!$B$10:$L$96,'Ke hoach giảng dạy CNTT'!L$6,0)</f>
        <v>Không</v>
      </c>
      <c r="M79" s="33" t="str">
        <f>VLOOKUP($D79,'Khung_CTĐT_CNTT_K30 (2024)'!$B$10:$L$96,'Ke hoach giảng dạy CNTT'!M$6,0)</f>
        <v>[71ITSE41103]Kỹ thuật lấy yêu cầu</v>
      </c>
      <c r="N79" s="115"/>
      <c r="O79" s="107"/>
      <c r="Q79" s="272">
        <f t="shared" si="7"/>
        <v>8</v>
      </c>
      <c r="R79" s="17" t="str">
        <f>IFERROR(VLOOKUP(D79,$D$9:D78,1,0),"")</f>
        <v/>
      </c>
    </row>
    <row r="80" spans="1:18" x14ac:dyDescent="0.3">
      <c r="A80" s="345"/>
      <c r="B80" s="25">
        <v>2</v>
      </c>
      <c r="C80" s="25">
        <v>3</v>
      </c>
      <c r="D80" s="26" t="s">
        <v>83</v>
      </c>
      <c r="E80" s="30" t="str">
        <f>VLOOKUP($D80,'Khung_CTĐT_CNTT_K30 (2024)'!$B$10:$L$96,'Ke hoach giảng dạy CNTT'!E$6,0)</f>
        <v xml:space="preserve">Quản lý dự án phần mềm </v>
      </c>
      <c r="F80" s="31">
        <f>VLOOKUP($D80,'Khung_CTĐT_CNTT_K30 (2024)'!$B$10:$L$96,'Ke hoach giảng dạy CNTT'!F$6,0)</f>
        <v>3</v>
      </c>
      <c r="G80" s="31">
        <f>VLOOKUP($D80,'Khung_CTĐT_CNTT_K30 (2024)'!$B$10:$L$96,'Ke hoach giảng dạy CNTT'!G$6,0)</f>
        <v>30</v>
      </c>
      <c r="H80" s="31">
        <f>VLOOKUP($D80,'Khung_CTĐT_CNTT_K30 (2024)'!$B$10:$L$96,'Ke hoach giảng dạy CNTT'!H$6,0)</f>
        <v>30</v>
      </c>
      <c r="I80" s="31">
        <f>VLOOKUP($D80,'Khung_CTĐT_CNTT_K30 (2024)'!$B$10:$L$96,'Ke hoach giảng dạy CNTT'!I$6,0)</f>
        <v>0</v>
      </c>
      <c r="J80" s="31">
        <f>VLOOKUP($D80,'Khung_CTĐT_CNTT_K30 (2024)'!$B$10:$L$96,'Ke hoach giảng dạy CNTT'!J$6,0)</f>
        <v>0</v>
      </c>
      <c r="K80" s="31" t="str">
        <f>VLOOKUP($D80,'Khung_CTĐT_CNTT_K30 (2024)'!$B$10:$L$96,'Ke hoach giảng dạy CNTT'!K$6,0)</f>
        <v>BB</v>
      </c>
      <c r="L80" s="32" t="str">
        <f>VLOOKUP($D80,'Khung_CTĐT_CNTT_K30 (2024)'!$B$10:$L$96,'Ke hoach giảng dạy CNTT'!L$6,0)</f>
        <v>Không</v>
      </c>
      <c r="M80" s="33" t="str">
        <f>VLOOKUP($D80,'Khung_CTĐT_CNTT_K30 (2024)'!$B$10:$L$96,'Ke hoach giảng dạy CNTT'!M$6,0)</f>
        <v>[71ITSE41103]Kỹ thuật lấy yêu cầu</v>
      </c>
      <c r="N80" s="115"/>
      <c r="O80" s="107"/>
      <c r="Q80" s="272">
        <f t="shared" si="7"/>
        <v>8</v>
      </c>
      <c r="R80" s="17" t="str">
        <f>IFERROR(VLOOKUP(D80,$D$9:D79,1,0),"")</f>
        <v/>
      </c>
    </row>
    <row r="81" spans="1:18" x14ac:dyDescent="0.3">
      <c r="A81" s="345"/>
      <c r="B81" s="45"/>
      <c r="C81" s="49" t="s">
        <v>59</v>
      </c>
      <c r="D81" s="49"/>
      <c r="E81" s="46"/>
      <c r="F81" s="50"/>
      <c r="G81" s="45"/>
      <c r="H81" s="45"/>
      <c r="I81" s="45"/>
      <c r="J81" s="45"/>
      <c r="K81" s="45"/>
      <c r="L81" s="47"/>
      <c r="M81" s="48"/>
      <c r="N81" s="264"/>
      <c r="O81" s="265"/>
      <c r="Q81" s="272">
        <f t="shared" si="7"/>
        <v>8</v>
      </c>
      <c r="R81" s="17" t="str">
        <f>IFERROR(VLOOKUP(D81,$D$9:D80,1,0),"")</f>
        <v/>
      </c>
    </row>
    <row r="82" spans="1:18" x14ac:dyDescent="0.3">
      <c r="A82" s="345"/>
      <c r="B82" s="25">
        <v>2</v>
      </c>
      <c r="C82" s="25">
        <v>3</v>
      </c>
      <c r="D82" s="26" t="s">
        <v>84</v>
      </c>
      <c r="E82" s="30" t="str">
        <f>VLOOKUP($D82,'Khung_CTĐT_CNTT_K30 (2024)'!$B$10:$L$96,'Ke hoach giảng dạy CNTT'!E$6,0)</f>
        <v xml:space="preserve">Số hóa và quản trị thông tin số </v>
      </c>
      <c r="F82" s="31">
        <f>VLOOKUP($D82,'Khung_CTĐT_CNTT_K30 (2024)'!$B$10:$L$96,'Ke hoach giảng dạy CNTT'!F$6,0)</f>
        <v>3</v>
      </c>
      <c r="G82" s="31">
        <f>VLOOKUP($D82,'Khung_CTĐT_CNTT_K30 (2024)'!$B$10:$L$96,'Ke hoach giảng dạy CNTT'!G$6,0)</f>
        <v>30</v>
      </c>
      <c r="H82" s="31">
        <f>VLOOKUP($D82,'Khung_CTĐT_CNTT_K30 (2024)'!$B$10:$L$96,'Ke hoach giảng dạy CNTT'!H$6,0)</f>
        <v>30</v>
      </c>
      <c r="I82" s="31">
        <f>VLOOKUP($D82,'Khung_CTĐT_CNTT_K30 (2024)'!$B$10:$L$96,'Ke hoach giảng dạy CNTT'!I$6,0)</f>
        <v>0</v>
      </c>
      <c r="J82" s="31">
        <f>VLOOKUP($D82,'Khung_CTĐT_CNTT_K30 (2024)'!$B$10:$L$96,'Ke hoach giảng dạy CNTT'!J$6,0)</f>
        <v>0</v>
      </c>
      <c r="K82" s="31" t="str">
        <f>VLOOKUP($D82,'Khung_CTĐT_CNTT_K30 (2024)'!$B$10:$L$96,'Ke hoach giảng dạy CNTT'!K$6,0)</f>
        <v>BB</v>
      </c>
      <c r="L82" s="32" t="str">
        <f>VLOOKUP($D82,'Khung_CTĐT_CNTT_K30 (2024)'!$B$10:$L$96,'Ke hoach giảng dạy CNTT'!L$6,0)</f>
        <v>Không</v>
      </c>
      <c r="M82" s="33" t="str">
        <f>VLOOKUP($D82,'Khung_CTĐT_CNTT_K30 (2024)'!$B$10:$L$96,'Ke hoach giảng dạy CNTT'!M$6,0)</f>
        <v>Không</v>
      </c>
      <c r="N82" s="115"/>
      <c r="O82" s="107"/>
      <c r="Q82" s="272">
        <f t="shared" si="7"/>
        <v>8</v>
      </c>
      <c r="R82" s="17" t="str">
        <f>IFERROR(VLOOKUP(D82,$D$9:D81,1,0),"")</f>
        <v/>
      </c>
    </row>
    <row r="83" spans="1:18" ht="27" customHeight="1" x14ac:dyDescent="0.3">
      <c r="A83" s="345"/>
      <c r="B83" s="25">
        <v>2</v>
      </c>
      <c r="C83" s="25">
        <v>3</v>
      </c>
      <c r="D83" s="26" t="s">
        <v>85</v>
      </c>
      <c r="E83" s="30" t="str">
        <f>VLOOKUP($D83,'Khung_CTĐT_CNTT_K30 (2024)'!$B$10:$L$96,'Ke hoach giảng dạy CNTT'!E$6,0)</f>
        <v xml:space="preserve">Lập trình tính toán song song </v>
      </c>
      <c r="F83" s="25">
        <f>VLOOKUP($D83,'Khung_CTĐT_CNTT_K30 (2024)'!$B$10:$L$96,'Ke hoach giảng dạy CNTT'!F$6,0)</f>
        <v>3</v>
      </c>
      <c r="G83" s="25">
        <f>VLOOKUP($D83,'Khung_CTĐT_CNTT_K30 (2024)'!$B$10:$L$96,'Ke hoach giảng dạy CNTT'!G$6,0)</f>
        <v>30</v>
      </c>
      <c r="H83" s="25">
        <f>VLOOKUP($D83,'Khung_CTĐT_CNTT_K30 (2024)'!$B$10:$L$96,'Ke hoach giảng dạy CNTT'!H$6,0)</f>
        <v>30</v>
      </c>
      <c r="I83" s="25">
        <f>VLOOKUP($D83,'Khung_CTĐT_CNTT_K30 (2024)'!$B$10:$L$96,'Ke hoach giảng dạy CNTT'!I$6,0)</f>
        <v>0</v>
      </c>
      <c r="J83" s="25">
        <f>VLOOKUP($D83,'Khung_CTĐT_CNTT_K30 (2024)'!$B$10:$L$96,'Ke hoach giảng dạy CNTT'!J$6,0)</f>
        <v>0</v>
      </c>
      <c r="K83" s="25" t="str">
        <f>VLOOKUP($D83,'Khung_CTĐT_CNTT_K30 (2024)'!$B$10:$L$96,'Ke hoach giảng dạy CNTT'!K$6,0)</f>
        <v>BB</v>
      </c>
      <c r="L83" s="28" t="str">
        <f>VLOOKUP($D83,'Khung_CTĐT_CNTT_K30 (2024)'!$B$10:$L$96,'Ke hoach giảng dạy CNTT'!L$6,0)</f>
        <v>Không</v>
      </c>
      <c r="M83" s="29" t="str">
        <f>VLOOKUP($D83,'Khung_CTĐT_CNTT_K30 (2024)'!$B$10:$L$96,'Ke hoach giảng dạy CNTT'!M$6,0)</f>
        <v xml:space="preserve">[71ITSE30303]Cấu trúc dữ liệu và giải thuật </v>
      </c>
      <c r="N83" s="115"/>
      <c r="O83" s="107"/>
      <c r="Q83" s="272">
        <f t="shared" si="7"/>
        <v>8</v>
      </c>
      <c r="R83" s="17" t="str">
        <f>IFERROR(VLOOKUP(D83,$D$9:D82,1,0),"")</f>
        <v/>
      </c>
    </row>
    <row r="84" spans="1:18" ht="27" customHeight="1" x14ac:dyDescent="0.3">
      <c r="A84" s="345"/>
      <c r="B84" s="25">
        <v>2</v>
      </c>
      <c r="C84" s="25">
        <v>3</v>
      </c>
      <c r="D84" s="26" t="s">
        <v>86</v>
      </c>
      <c r="E84" s="30" t="str">
        <f>VLOOKUP($D84,'Khung_CTĐT_CNTT_K30 (2024)'!$B$10:$L$96,'Ke hoach giảng dạy CNTT'!E$6,0)</f>
        <v>Mã hóa dữ liệu và chuỗi khối (Block chain)</v>
      </c>
      <c r="F84" s="25">
        <f>VLOOKUP($D84,'Khung_CTĐT_CNTT_K30 (2024)'!$B$10:$L$96,'Ke hoach giảng dạy CNTT'!F$6,0)</f>
        <v>3</v>
      </c>
      <c r="G84" s="25">
        <f>VLOOKUP($D84,'Khung_CTĐT_CNTT_K30 (2024)'!$B$10:$L$96,'Ke hoach giảng dạy CNTT'!G$6,0)</f>
        <v>30</v>
      </c>
      <c r="H84" s="25">
        <f>VLOOKUP($D84,'Khung_CTĐT_CNTT_K30 (2024)'!$B$10:$L$96,'Ke hoach giảng dạy CNTT'!H$6,0)</f>
        <v>30</v>
      </c>
      <c r="I84" s="25">
        <f>VLOOKUP($D84,'Khung_CTĐT_CNTT_K30 (2024)'!$B$10:$L$96,'Ke hoach giảng dạy CNTT'!I$6,0)</f>
        <v>0</v>
      </c>
      <c r="J84" s="25">
        <f>VLOOKUP($D84,'Khung_CTĐT_CNTT_K30 (2024)'!$B$10:$L$96,'Ke hoach giảng dạy CNTT'!J$6,0)</f>
        <v>0</v>
      </c>
      <c r="K84" s="25" t="str">
        <f>VLOOKUP($D84,'Khung_CTĐT_CNTT_K30 (2024)'!$B$10:$L$96,'Ke hoach giảng dạy CNTT'!K$6,0)</f>
        <v>BB</v>
      </c>
      <c r="L84" s="28" t="str">
        <f>VLOOKUP($D84,'Khung_CTĐT_CNTT_K30 (2024)'!$B$10:$L$96,'Ke hoach giảng dạy CNTT'!L$6,0)</f>
        <v>Không</v>
      </c>
      <c r="M84" s="29" t="str">
        <f>VLOOKUP($D84,'Khung_CTĐT_CNTT_K30 (2024)'!$B$10:$L$96,'Ke hoach giảng dạy CNTT'!M$6,0)</f>
        <v>[71ITIS30103]Cơ sở dữ liệu</v>
      </c>
      <c r="N84" s="115"/>
      <c r="O84" s="107"/>
      <c r="Q84" s="272">
        <f t="shared" si="7"/>
        <v>8</v>
      </c>
      <c r="R84" s="17" t="str">
        <f>IFERROR(VLOOKUP(D84,$D$9:D83,1,0),"")</f>
        <v/>
      </c>
    </row>
    <row r="85" spans="1:18" x14ac:dyDescent="0.3">
      <c r="A85" s="345"/>
      <c r="B85" s="45"/>
      <c r="C85" s="49" t="s">
        <v>61</v>
      </c>
      <c r="D85" s="49"/>
      <c r="E85" s="46"/>
      <c r="F85" s="50"/>
      <c r="G85" s="45"/>
      <c r="H85" s="45"/>
      <c r="I85" s="45"/>
      <c r="J85" s="45"/>
      <c r="K85" s="45"/>
      <c r="L85" s="47"/>
      <c r="M85" s="48"/>
      <c r="N85" s="264"/>
      <c r="O85" s="265"/>
      <c r="Q85" s="272">
        <f t="shared" si="7"/>
        <v>8</v>
      </c>
      <c r="R85" s="17" t="str">
        <f>IFERROR(VLOOKUP(D85,$D$9:D84,1,0),"")</f>
        <v/>
      </c>
    </row>
    <row r="86" spans="1:18" x14ac:dyDescent="0.3">
      <c r="A86" s="345"/>
      <c r="B86" s="25">
        <v>2</v>
      </c>
      <c r="C86" s="25">
        <v>3</v>
      </c>
      <c r="D86" s="26" t="s">
        <v>87</v>
      </c>
      <c r="E86" s="27" t="str">
        <f>VLOOKUP($D86,'Khung_CTĐT_CNTT_K30 (2024)'!$B$10:$L$96,'Ke hoach giảng dạy CNTT'!E$6,0)</f>
        <v xml:space="preserve">Thị giác máy tính </v>
      </c>
      <c r="F86" s="25">
        <f>VLOOKUP($D86,'Khung_CTĐT_CNTT_K30 (2024)'!$B$10:$L$96,'Ke hoach giảng dạy CNTT'!F$6,0)</f>
        <v>3</v>
      </c>
      <c r="G86" s="25">
        <f>VLOOKUP($D86,'Khung_CTĐT_CNTT_K30 (2024)'!$B$10:$L$96,'Ke hoach giảng dạy CNTT'!G$6,0)</f>
        <v>30</v>
      </c>
      <c r="H86" s="25">
        <f>VLOOKUP($D86,'Khung_CTĐT_CNTT_K30 (2024)'!$B$10:$L$96,'Ke hoach giảng dạy CNTT'!H$6,0)</f>
        <v>30</v>
      </c>
      <c r="I86" s="25">
        <f>VLOOKUP($D86,'Khung_CTĐT_CNTT_K30 (2024)'!$B$10:$L$96,'Ke hoach giảng dạy CNTT'!I$6,0)</f>
        <v>0</v>
      </c>
      <c r="J86" s="25">
        <f>VLOOKUP($D86,'Khung_CTĐT_CNTT_K30 (2024)'!$B$10:$L$96,'Ke hoach giảng dạy CNTT'!J$6,0)</f>
        <v>0</v>
      </c>
      <c r="K86" s="25" t="str">
        <f>VLOOKUP($D86,'Khung_CTĐT_CNTT_K30 (2024)'!$B$10:$L$96,'Ke hoach giảng dạy CNTT'!K$6,0)</f>
        <v>BB</v>
      </c>
      <c r="L86" s="28" t="str">
        <f>VLOOKUP($D86,'Khung_CTĐT_CNTT_K30 (2024)'!$B$10:$L$96,'Ke hoach giảng dạy CNTT'!L$6,0)</f>
        <v>Không</v>
      </c>
      <c r="M86" s="29" t="str">
        <f>VLOOKUP($D86,'Khung_CTĐT_CNTT_K30 (2024)'!$B$10:$L$96,'Ke hoach giảng dạy CNTT'!M$6,0)</f>
        <v xml:space="preserve">[71ITAI41203]Học máy và ứng dụng </v>
      </c>
      <c r="N86" s="115"/>
      <c r="O86" s="107"/>
      <c r="Q86" s="272">
        <f t="shared" si="7"/>
        <v>8</v>
      </c>
      <c r="R86" s="17" t="str">
        <f>IFERROR(VLOOKUP(D86,$D$9:D85,1,0),"")</f>
        <v/>
      </c>
    </row>
    <row r="87" spans="1:18" x14ac:dyDescent="0.3">
      <c r="A87" s="345"/>
      <c r="B87" s="25">
        <v>2</v>
      </c>
      <c r="C87" s="25">
        <v>3</v>
      </c>
      <c r="D87" s="32" t="s">
        <v>88</v>
      </c>
      <c r="E87" s="30" t="str">
        <f>VLOOKUP($D87,'Khung_CTĐT_CNTT_K30 (2024)'!$B$10:$L$96,'Ke hoach giảng dạy CNTT'!E$6,0)</f>
        <v>Giới thiệu về học sâu</v>
      </c>
      <c r="F87" s="31">
        <f>VLOOKUP($D87,'Khung_CTĐT_CNTT_K30 (2024)'!$B$10:$L$96,'Ke hoach giảng dạy CNTT'!F$6,0)</f>
        <v>3</v>
      </c>
      <c r="G87" s="31">
        <f>VLOOKUP($D87,'Khung_CTĐT_CNTT_K30 (2024)'!$B$10:$L$96,'Ke hoach giảng dạy CNTT'!G$6,0)</f>
        <v>30</v>
      </c>
      <c r="H87" s="25">
        <f>VLOOKUP($D87,'Khung_CTĐT_CNTT_K30 (2024)'!$B$10:$L$96,'Ke hoach giảng dạy CNTT'!H$6,0)</f>
        <v>30</v>
      </c>
      <c r="I87" s="25">
        <f>VLOOKUP($D87,'Khung_CTĐT_CNTT_K30 (2024)'!$B$10:$L$96,'Ke hoach giảng dạy CNTT'!I$6,0)</f>
        <v>0</v>
      </c>
      <c r="J87" s="25">
        <f>VLOOKUP($D87,'Khung_CTĐT_CNTT_K30 (2024)'!$B$10:$L$96,'Ke hoach giảng dạy CNTT'!J$6,0)</f>
        <v>0</v>
      </c>
      <c r="K87" s="25" t="str">
        <f>VLOOKUP($D87,'Khung_CTĐT_CNTT_K30 (2024)'!$B$10:$L$96,'Ke hoach giảng dạy CNTT'!K$6,0)</f>
        <v>BB</v>
      </c>
      <c r="L87" s="28" t="str">
        <f>VLOOKUP($D87,'Khung_CTĐT_CNTT_K30 (2024)'!$B$10:$L$96,'Ke hoach giảng dạy CNTT'!L$6,0)</f>
        <v>Không</v>
      </c>
      <c r="M87" s="29" t="str">
        <f>VLOOKUP($D87,'Khung_CTĐT_CNTT_K30 (2024)'!$B$10:$L$96,'Ke hoach giảng dạy CNTT'!M$6,0)</f>
        <v>[71ITAI40503]Trí tuệ nhân tạo ứng dụng</v>
      </c>
      <c r="N87" s="115"/>
      <c r="O87" s="107"/>
      <c r="Q87" s="272">
        <f t="shared" si="7"/>
        <v>8</v>
      </c>
      <c r="R87" s="17" t="str">
        <f>IFERROR(VLOOKUP(D87,$D$9:D86,1,0),"")</f>
        <v/>
      </c>
    </row>
    <row r="88" spans="1:18" ht="27.6" x14ac:dyDescent="0.3">
      <c r="A88" s="345"/>
      <c r="B88" s="25">
        <v>2</v>
      </c>
      <c r="C88" s="25">
        <v>3</v>
      </c>
      <c r="D88" s="32" t="s">
        <v>89</v>
      </c>
      <c r="E88" s="30" t="str">
        <f>VLOOKUP($D88,'Khung_CTĐT_CNTT_K30 (2024)'!$B$10:$L$96,'Ke hoach giảng dạy CNTT'!E$6,0)</f>
        <v>Các công cụ và nền tảng cho trí tuệ nhân tạo</v>
      </c>
      <c r="F88" s="31">
        <f>VLOOKUP($D88,'Khung_CTĐT_CNTT_K30 (2024)'!$B$10:$L$96,'Ke hoach giảng dạy CNTT'!F$6,0)</f>
        <v>3</v>
      </c>
      <c r="G88" s="31">
        <f>VLOOKUP($D88,'Khung_CTĐT_CNTT_K30 (2024)'!$B$10:$L$96,'Ke hoach giảng dạy CNTT'!G$6,0)</f>
        <v>30</v>
      </c>
      <c r="H88" s="25">
        <f>VLOOKUP($D88,'Khung_CTĐT_CNTT_K30 (2024)'!$B$10:$L$96,'Ke hoach giảng dạy CNTT'!H$6,0)</f>
        <v>30</v>
      </c>
      <c r="I88" s="25">
        <f>VLOOKUP($D88,'Khung_CTĐT_CNTT_K30 (2024)'!$B$10:$L$96,'Ke hoach giảng dạy CNTT'!I$6,0)</f>
        <v>0</v>
      </c>
      <c r="J88" s="25">
        <f>VLOOKUP($D88,'Khung_CTĐT_CNTT_K30 (2024)'!$B$10:$L$96,'Ke hoach giảng dạy CNTT'!J$6,0)</f>
        <v>0</v>
      </c>
      <c r="K88" s="25" t="str">
        <f>VLOOKUP($D88,'Khung_CTĐT_CNTT_K30 (2024)'!$B$10:$L$96,'Ke hoach giảng dạy CNTT'!K$6,0)</f>
        <v>BB</v>
      </c>
      <c r="L88" s="28" t="str">
        <f>VLOOKUP($D88,'Khung_CTĐT_CNTT_K30 (2024)'!$B$10:$L$96,'Ke hoach giảng dạy CNTT'!L$6,0)</f>
        <v>Không</v>
      </c>
      <c r="M88" s="29" t="str">
        <f>VLOOKUP($D88,'Khung_CTĐT_CNTT_K30 (2024)'!$B$10:$L$96,'Ke hoach giảng dạy CNTT'!M$6,0)</f>
        <v xml:space="preserve">Không </v>
      </c>
      <c r="N88" s="115"/>
      <c r="O88" s="107"/>
      <c r="Q88" s="272">
        <f t="shared" si="7"/>
        <v>8</v>
      </c>
      <c r="R88" s="17" t="str">
        <f>IFERROR(VLOOKUP(D88,$D$9:D87,1,0),"")</f>
        <v/>
      </c>
    </row>
    <row r="89" spans="1:18" x14ac:dyDescent="0.3">
      <c r="A89" s="345"/>
      <c r="B89" s="45"/>
      <c r="C89" s="49" t="s">
        <v>90</v>
      </c>
      <c r="D89" s="49"/>
      <c r="E89" s="46"/>
      <c r="F89" s="50"/>
      <c r="G89" s="45"/>
      <c r="H89" s="45"/>
      <c r="I89" s="45"/>
      <c r="J89" s="45"/>
      <c r="K89" s="45"/>
      <c r="L89" s="47"/>
      <c r="M89" s="48"/>
      <c r="N89" s="264"/>
      <c r="O89" s="265"/>
      <c r="Q89" s="272">
        <f t="shared" si="7"/>
        <v>8</v>
      </c>
      <c r="R89" s="17" t="str">
        <f>IFERROR(VLOOKUP(D89,$D$9:D88,1,0),"")</f>
        <v/>
      </c>
    </row>
    <row r="90" spans="1:18" x14ac:dyDescent="0.3">
      <c r="A90" s="345"/>
      <c r="B90" s="25">
        <v>2</v>
      </c>
      <c r="C90" s="25">
        <v>3</v>
      </c>
      <c r="D90" s="26" t="s">
        <v>91</v>
      </c>
      <c r="E90" s="27" t="str">
        <f>VLOOKUP($D90,'Khung_CTĐT_CNTT_K30 (2024)'!$B$10:$L$96,'Ke hoach giảng dạy CNTT'!E$6,0)</f>
        <v xml:space="preserve">Lập trình di động nâng cao </v>
      </c>
      <c r="F90" s="25">
        <f>VLOOKUP($D90,'Khung_CTĐT_CNTT_K30 (2024)'!$B$10:$L$96,'Ke hoach giảng dạy CNTT'!F$6,0)</f>
        <v>3</v>
      </c>
      <c r="G90" s="25">
        <f>VLOOKUP($D90,'Khung_CTĐT_CNTT_K30 (2024)'!$B$10:$L$96,'Ke hoach giảng dạy CNTT'!G$6,0)</f>
        <v>30</v>
      </c>
      <c r="H90" s="25">
        <f>VLOOKUP($D90,'Khung_CTĐT_CNTT_K30 (2024)'!$B$10:$L$96,'Ke hoach giảng dạy CNTT'!H$6,0)</f>
        <v>30</v>
      </c>
      <c r="I90" s="25">
        <f>VLOOKUP($D90,'Khung_CTĐT_CNTT_K30 (2024)'!$B$10:$L$96,'Ke hoach giảng dạy CNTT'!I$6,0)</f>
        <v>0</v>
      </c>
      <c r="J90" s="25">
        <f>VLOOKUP($D90,'Khung_CTĐT_CNTT_K30 (2024)'!$B$10:$L$96,'Ke hoach giảng dạy CNTT'!J$6,0)</f>
        <v>0</v>
      </c>
      <c r="K90" s="25" t="str">
        <f>VLOOKUP($D90,'Khung_CTĐT_CNTT_K30 (2024)'!$B$10:$L$96,'Ke hoach giảng dạy CNTT'!K$6,0)</f>
        <v>TC309</v>
      </c>
      <c r="L90" s="28" t="str">
        <f>VLOOKUP($D90,'Khung_CTĐT_CNTT_K30 (2024)'!$B$10:$L$96,'Ke hoach giảng dạy CNTT'!L$6,0)</f>
        <v>Không</v>
      </c>
      <c r="M90" s="29" t="str">
        <f>VLOOKUP($D90,'Khung_CTĐT_CNTT_K30 (2024)'!$B$10:$L$96,'Ke hoach giảng dạy CNTT'!M$6,0)</f>
        <v>[71ITSE30603]Lập trình ứng dụng di động</v>
      </c>
      <c r="N90" s="115"/>
      <c r="O90" s="107"/>
      <c r="Q90" s="272">
        <f t="shared" si="7"/>
        <v>8</v>
      </c>
      <c r="R90" s="17" t="str">
        <f>IFERROR(VLOOKUP(D90,$D$9:D89,1,0),"")</f>
        <v/>
      </c>
    </row>
    <row r="91" spans="1:18" x14ac:dyDescent="0.3">
      <c r="A91" s="345"/>
      <c r="B91" s="25">
        <v>2</v>
      </c>
      <c r="C91" s="25">
        <v>3</v>
      </c>
      <c r="D91" s="109" t="s">
        <v>92</v>
      </c>
      <c r="E91" s="27" t="str">
        <f>VLOOKUP($D91,'Khung_CTĐT_CNTT_K30 (2024)'!$B$10:$L$96,'Ke hoach giảng dạy CNTT'!E$6,0)</f>
        <v>Lập trình Python nâng cao</v>
      </c>
      <c r="F91" s="25">
        <f>VLOOKUP($D91,'Khung_CTĐT_CNTT_K30 (2024)'!$B$10:$L$96,'Ke hoach giảng dạy CNTT'!F$6,0)</f>
        <v>3</v>
      </c>
      <c r="G91" s="25">
        <f>VLOOKUP($D91,'Khung_CTĐT_CNTT_K30 (2024)'!$B$10:$L$96,'Ke hoach giảng dạy CNTT'!G$6,0)</f>
        <v>30</v>
      </c>
      <c r="H91" s="25">
        <f>VLOOKUP($D91,'Khung_CTĐT_CNTT_K30 (2024)'!$B$10:$L$96,'Ke hoach giảng dạy CNTT'!H$6,0)</f>
        <v>30</v>
      </c>
      <c r="I91" s="25">
        <f>VLOOKUP($D91,'Khung_CTĐT_CNTT_K30 (2024)'!$B$10:$L$96,'Ke hoach giảng dạy CNTT'!I$6,0)</f>
        <v>0</v>
      </c>
      <c r="J91" s="25">
        <f>VLOOKUP($D91,'Khung_CTĐT_CNTT_K30 (2024)'!$B$10:$L$96,'Ke hoach giảng dạy CNTT'!J$6,0)</f>
        <v>0</v>
      </c>
      <c r="K91" s="25" t="str">
        <f>VLOOKUP($D91,'Khung_CTĐT_CNTT_K30 (2024)'!$B$10:$L$96,'Ke hoach giảng dạy CNTT'!K$6,0)</f>
        <v>TC309</v>
      </c>
      <c r="L91" s="28" t="str">
        <f>VLOOKUP($D91,'Khung_CTĐT_CNTT_K30 (2024)'!$B$10:$L$96,'Ke hoach giảng dạy CNTT'!L$6,0)</f>
        <v>Không</v>
      </c>
      <c r="M91" s="29" t="str">
        <f>VLOOKUP($D91,'Khung_CTĐT_CNTT_K30 (2024)'!$B$10:$L$96,'Ke hoach giảng dạy CNTT'!M$6,0)</f>
        <v>Không</v>
      </c>
      <c r="N91" s="115"/>
      <c r="O91" s="107"/>
      <c r="Q91" s="272">
        <f t="shared" si="7"/>
        <v>8</v>
      </c>
      <c r="R91" s="17" t="str">
        <f>IFERROR(VLOOKUP(D91,$D$9:D90,1,0),"")</f>
        <v/>
      </c>
    </row>
    <row r="92" spans="1:18" x14ac:dyDescent="0.3">
      <c r="A92" s="345"/>
      <c r="B92" s="25">
        <v>2</v>
      </c>
      <c r="C92" s="25">
        <v>3</v>
      </c>
      <c r="D92" s="26" t="s">
        <v>93</v>
      </c>
      <c r="E92" s="27" t="str">
        <f>VLOOKUP($D92,'Khung_CTĐT_CNTT_K30 (2024)'!$B$10:$L$96,'Ke hoach giảng dạy CNTT'!E$6,0)</f>
        <v>Lập trình Java nâng cao</v>
      </c>
      <c r="F92" s="25">
        <f>VLOOKUP($D92,'Khung_CTĐT_CNTT_K30 (2024)'!$B$10:$L$96,'Ke hoach giảng dạy CNTT'!F$6,0)</f>
        <v>3</v>
      </c>
      <c r="G92" s="25">
        <f>VLOOKUP($D92,'Khung_CTĐT_CNTT_K30 (2024)'!$B$10:$L$96,'Ke hoach giảng dạy CNTT'!G$6,0)</f>
        <v>30</v>
      </c>
      <c r="H92" s="25">
        <f>VLOOKUP($D92,'Khung_CTĐT_CNTT_K30 (2024)'!$B$10:$L$96,'Ke hoach giảng dạy CNTT'!H$6,0)</f>
        <v>30</v>
      </c>
      <c r="I92" s="25">
        <f>VLOOKUP($D92,'Khung_CTĐT_CNTT_K30 (2024)'!$B$10:$L$96,'Ke hoach giảng dạy CNTT'!I$6,0)</f>
        <v>0</v>
      </c>
      <c r="J92" s="25">
        <f>VLOOKUP($D92,'Khung_CTĐT_CNTT_K30 (2024)'!$B$10:$L$96,'Ke hoach giảng dạy CNTT'!J$6,0)</f>
        <v>0</v>
      </c>
      <c r="K92" s="25" t="str">
        <f>VLOOKUP($D92,'Khung_CTĐT_CNTT_K30 (2024)'!$B$10:$L$96,'Ke hoach giảng dạy CNTT'!K$6,0)</f>
        <v>TC309</v>
      </c>
      <c r="L92" s="28" t="str">
        <f>VLOOKUP($D92,'Khung_CTĐT_CNTT_K30 (2024)'!$B$10:$L$96,'Ke hoach giảng dạy CNTT'!L$6,0)</f>
        <v>Không</v>
      </c>
      <c r="M92" s="29" t="str">
        <f>VLOOKUP($D92,'Khung_CTĐT_CNTT_K30 (2024)'!$B$10:$L$96,'Ke hoach giảng dạy CNTT'!M$6,0)</f>
        <v>[71ITSE30403]Lập trình ứng dụng Java</v>
      </c>
      <c r="N92" s="115"/>
      <c r="O92" s="107"/>
      <c r="Q92" s="272">
        <f t="shared" si="7"/>
        <v>8</v>
      </c>
      <c r="R92" s="17" t="str">
        <f>IFERROR(VLOOKUP(D92,$D$9:D91,1,0),"")</f>
        <v/>
      </c>
    </row>
    <row r="93" spans="1:18" ht="17.399999999999999" thickBot="1" x14ac:dyDescent="0.35">
      <c r="A93" s="345"/>
      <c r="B93" s="39">
        <v>2</v>
      </c>
      <c r="C93" s="39">
        <v>3</v>
      </c>
      <c r="D93" s="40" t="s">
        <v>94</v>
      </c>
      <c r="E93" s="41" t="str">
        <f>VLOOKUP($D93,'Khung_CTĐT_CNTT_K30 (2024)'!$B$10:$L$96,'Ke hoach giảng dạy CNTT'!E$6,0)</f>
        <v xml:space="preserve">Kiểm thử tự động </v>
      </c>
      <c r="F93" s="42">
        <f>VLOOKUP($D93,'Khung_CTĐT_CNTT_K30 (2024)'!$B$10:$L$96,'Ke hoach giảng dạy CNTT'!F$6,0)</f>
        <v>3</v>
      </c>
      <c r="G93" s="42">
        <f>VLOOKUP($D93,'Khung_CTĐT_CNTT_K30 (2024)'!$B$10:$L$96,'Ke hoach giảng dạy CNTT'!G$6,0)</f>
        <v>30</v>
      </c>
      <c r="H93" s="42">
        <f>VLOOKUP($D93,'Khung_CTĐT_CNTT_K30 (2024)'!$B$10:$L$96,'Ke hoach giảng dạy CNTT'!H$6,0)</f>
        <v>30</v>
      </c>
      <c r="I93" s="42">
        <f>VLOOKUP($D93,'Khung_CTĐT_CNTT_K30 (2024)'!$B$10:$L$96,'Ke hoach giảng dạy CNTT'!I$6,0)</f>
        <v>0</v>
      </c>
      <c r="J93" s="42">
        <f>VLOOKUP($D93,'Khung_CTĐT_CNTT_K30 (2024)'!$B$10:$L$96,'Ke hoach giảng dạy CNTT'!J$6,0)</f>
        <v>0</v>
      </c>
      <c r="K93" s="42" t="str">
        <f>VLOOKUP($D93,'Khung_CTĐT_CNTT_K30 (2024)'!$B$10:$L$96,'Ke hoach giảng dạy CNTT'!K$6,0)</f>
        <v>TC309</v>
      </c>
      <c r="L93" s="43" t="str">
        <f>VLOOKUP($D93,'Khung_CTĐT_CNTT_K30 (2024)'!$B$10:$L$96,'Ke hoach giảng dạy CNTT'!L$6,0)</f>
        <v>Không</v>
      </c>
      <c r="M93" s="44" t="str">
        <f>VLOOKUP($D93,'Khung_CTĐT_CNTT_K30 (2024)'!$B$10:$L$96,'Ke hoach giảng dạy CNTT'!M$6,0)</f>
        <v>[71ITSE41203]Kiểm thử phần mềm</v>
      </c>
      <c r="N93" s="116"/>
      <c r="O93" s="201"/>
      <c r="Q93" s="272">
        <f t="shared" si="7"/>
        <v>8</v>
      </c>
      <c r="R93" s="17" t="str">
        <f>IFERROR(VLOOKUP(D93,$D$9:D92,1,0),"")</f>
        <v/>
      </c>
    </row>
    <row r="94" spans="1:18" ht="34.5" customHeight="1" x14ac:dyDescent="0.3">
      <c r="A94" s="344" t="s">
        <v>95</v>
      </c>
      <c r="B94" s="52">
        <v>3</v>
      </c>
      <c r="C94" s="52">
        <v>3</v>
      </c>
      <c r="D94" s="111" t="s">
        <v>96</v>
      </c>
      <c r="E94" s="112" t="str">
        <f>VLOOKUP($D94,'Khung_CTĐT_CNTT_K30 (2024)'!$B$10:$L$96,'Ke hoach giảng dạy CNTT'!E$6,0)</f>
        <v>Lịch sử Đảng Cộng sản Việt Nam</v>
      </c>
      <c r="F94" s="52">
        <f>VLOOKUP($D94,'Khung_CTĐT_CNTT_K30 (2024)'!$B$10:$L$96,'Ke hoach giảng dạy CNTT'!F$6,0)</f>
        <v>2</v>
      </c>
      <c r="G94" s="52">
        <f>VLOOKUP($D94,'Khung_CTĐT_CNTT_K30 (2024)'!$B$10:$L$96,'Ke hoach giảng dạy CNTT'!G$6,0)</f>
        <v>30</v>
      </c>
      <c r="H94" s="52">
        <f>VLOOKUP($D94,'Khung_CTĐT_CNTT_K30 (2024)'!$B$10:$L$96,'Ke hoach giảng dạy CNTT'!H$6,0)</f>
        <v>0</v>
      </c>
      <c r="I94" s="52">
        <f>VLOOKUP($D94,'Khung_CTĐT_CNTT_K30 (2024)'!$B$10:$L$96,'Ke hoach giảng dạy CNTT'!I$6,0)</f>
        <v>0</v>
      </c>
      <c r="J94" s="52">
        <f>VLOOKUP($D94,'Khung_CTĐT_CNTT_K30 (2024)'!$B$10:$L$96,'Ke hoach giảng dạy CNTT'!J$6,0)</f>
        <v>0</v>
      </c>
      <c r="K94" s="52" t="str">
        <f>VLOOKUP($D94,'Khung_CTĐT_CNTT_K30 (2024)'!$B$10:$L$96,'Ke hoach giảng dạy CNTT'!K$6,0)</f>
        <v>BB</v>
      </c>
      <c r="L94" s="64" t="str">
        <f>VLOOKUP($D94,'Khung_CTĐT_CNTT_K30 (2024)'!$B$10:$L$96,'Ke hoach giảng dạy CNTT'!L$6,0)</f>
        <v>Không</v>
      </c>
      <c r="M94" s="65" t="str">
        <f>VLOOKUP($D94,'Khung_CTĐT_CNTT_K30 (2024)'!$B$10:$L$96,'Ke hoach giảng dạy CNTT'!M$6,0)</f>
        <v>[71POLE10022]Kinh tế chính trị Mác-Lênin, [71POLS10032]Chủ nghĩa xã hội khoa học</v>
      </c>
      <c r="N94" s="117">
        <f>SUM(F94:F97)</f>
        <v>10</v>
      </c>
      <c r="O94" s="106"/>
      <c r="P94" s="113">
        <f>P76+N94</f>
        <v>120</v>
      </c>
      <c r="Q94" s="272">
        <v>9</v>
      </c>
      <c r="R94" s="17" t="str">
        <f>IFERROR(VLOOKUP(D94,$D$9:D93,1,0),"")</f>
        <v/>
      </c>
    </row>
    <row r="95" spans="1:18" ht="34.5" customHeight="1" x14ac:dyDescent="0.3">
      <c r="A95" s="347"/>
      <c r="B95" s="25">
        <v>3</v>
      </c>
      <c r="C95" s="25">
        <v>3</v>
      </c>
      <c r="D95" s="267" t="s">
        <v>97</v>
      </c>
      <c r="E95" s="211" t="str">
        <f>VLOOKUP($D95,'Khung_CTĐT_CNTT_K30 (2024)'!$B$10:$L$96,'Ke hoach giảng dạy CNTT'!E$6,0)</f>
        <v>Tư tưởng Hồ Chí Minh</v>
      </c>
      <c r="F95" s="25">
        <f>VLOOKUP($D95,'Khung_CTĐT_CNTT_K30 (2024)'!$B$10:$L$96,'Ke hoach giảng dạy CNTT'!F$6,0)</f>
        <v>2</v>
      </c>
      <c r="G95" s="25">
        <f>VLOOKUP($D95,'Khung_CTĐT_CNTT_K30 (2024)'!$B$10:$L$96,'Ke hoach giảng dạy CNTT'!G$6,0)</f>
        <v>30</v>
      </c>
      <c r="H95" s="25">
        <f>VLOOKUP($D95,'Khung_CTĐT_CNTT_K30 (2024)'!$B$10:$L$96,'Ke hoach giảng dạy CNTT'!H$6,0)</f>
        <v>0</v>
      </c>
      <c r="I95" s="25">
        <f>VLOOKUP($D95,'Khung_CTĐT_CNTT_K30 (2024)'!$B$10:$L$96,'Ke hoach giảng dạy CNTT'!I$6,0)</f>
        <v>0</v>
      </c>
      <c r="J95" s="25">
        <f>VLOOKUP($D95,'Khung_CTĐT_CNTT_K30 (2024)'!$B$10:$L$96,'Ke hoach giảng dạy CNTT'!J$6,0)</f>
        <v>0</v>
      </c>
      <c r="K95" s="25" t="str">
        <f>VLOOKUP($D95,'Khung_CTĐT_CNTT_K30 (2024)'!$B$10:$L$96,'Ke hoach giảng dạy CNTT'!K$6,0)</f>
        <v>BB</v>
      </c>
      <c r="L95" s="28" t="str">
        <f>VLOOKUP($D95,'Khung_CTĐT_CNTT_K30 (2024)'!$B$10:$L$96,'Ke hoach giảng dạy CNTT'!L$6,0)</f>
        <v>Không</v>
      </c>
      <c r="M95" s="29" t="str">
        <f>VLOOKUP($D95,'Khung_CTĐT_CNTT_K30 (2024)'!$B$10:$L$96,'Ke hoach giảng dạy CNTT'!M$6,0)</f>
        <v>[71POLE10022]Kinh tế chính trị Mác-Lênin, [71POLS10032]Chủ nghĩa xã hội khoa học</v>
      </c>
      <c r="N95" s="115"/>
      <c r="O95" s="107"/>
      <c r="Q95" s="272">
        <v>9</v>
      </c>
      <c r="R95" s="17" t="str">
        <f>IFERROR(VLOOKUP(D95,$D$9:D93,1,0),"")</f>
        <v/>
      </c>
    </row>
    <row r="96" spans="1:18" ht="34.5" customHeight="1" x14ac:dyDescent="0.3">
      <c r="A96" s="347"/>
      <c r="B96" s="25">
        <v>3</v>
      </c>
      <c r="C96" s="25">
        <v>3</v>
      </c>
      <c r="D96" s="267" t="s">
        <v>605</v>
      </c>
      <c r="E96" s="211" t="str">
        <f>VLOOKUP($D96,'Khung_CTĐT_CNTT_K30 (2024)'!$B$10:$L$96,'Ke hoach giảng dạy CNTT'!E$6,0)</f>
        <v>Môi trường và con người</v>
      </c>
      <c r="F96" s="25">
        <f>VLOOKUP($D96,'Khung_CTĐT_CNTT_K30 (2024)'!$B$10:$L$96,'Ke hoach giảng dạy CNTT'!F$6,0)</f>
        <v>2</v>
      </c>
      <c r="G96" s="25">
        <f>VLOOKUP($D96,'Khung_CTĐT_CNTT_K30 (2024)'!$B$10:$L$96,'Ke hoach giảng dạy CNTT'!G$6,0)</f>
        <v>30</v>
      </c>
      <c r="H96" s="25">
        <f>VLOOKUP($D96,'Khung_CTĐT_CNTT_K30 (2024)'!$B$10:$L$96,'Ke hoach giảng dạy CNTT'!H$6,0)</f>
        <v>0</v>
      </c>
      <c r="I96" s="25">
        <f>VLOOKUP($D96,'Khung_CTĐT_CNTT_K30 (2024)'!$B$10:$L$96,'Ke hoach giảng dạy CNTT'!I$6,0)</f>
        <v>0</v>
      </c>
      <c r="J96" s="25">
        <f>VLOOKUP($D96,'Khung_CTĐT_CNTT_K30 (2024)'!$B$10:$L$96,'Ke hoach giảng dạy CNTT'!J$6,0)</f>
        <v>0</v>
      </c>
      <c r="K96" s="25" t="str">
        <f>VLOOKUP($D96,'Khung_CTĐT_CNTT_K30 (2024)'!$B$10:$L$96,'Ke hoach giảng dạy CNTT'!K$6,0)</f>
        <v>BB</v>
      </c>
      <c r="L96" s="28" t="str">
        <f>VLOOKUP($D96,'Khung_CTĐT_CNTT_K30 (2024)'!$B$10:$L$96,'Ke hoach giảng dạy CNTT'!L$6,0)</f>
        <v>Không</v>
      </c>
      <c r="M96" s="29" t="str">
        <f>VLOOKUP($D96,'Khung_CTĐT_CNTT_K30 (2024)'!$B$10:$L$96,'Ke hoach giảng dạy CNTT'!M$6,0)</f>
        <v xml:space="preserve">Không </v>
      </c>
      <c r="N96" s="115"/>
      <c r="O96" s="107"/>
      <c r="Q96" s="272">
        <f>Q94</f>
        <v>9</v>
      </c>
      <c r="R96" s="17" t="str">
        <f>IFERROR(VLOOKUP(D96,$D$9:D94,1,0),"")</f>
        <v/>
      </c>
    </row>
    <row r="97" spans="1:20" ht="34.5" customHeight="1" thickBot="1" x14ac:dyDescent="0.35">
      <c r="A97" s="353"/>
      <c r="B97" s="34">
        <v>3</v>
      </c>
      <c r="C97" s="34">
        <v>3</v>
      </c>
      <c r="D97" s="268" t="s">
        <v>98</v>
      </c>
      <c r="E97" s="269" t="str">
        <f>VLOOKUP($D97,'Khung_CTĐT_CNTT_K30 (2024)'!$B$10:$L$96,'Ke hoach giảng dạy CNTT'!E$6,0)</f>
        <v xml:space="preserve">Đồ án thực tập </v>
      </c>
      <c r="F97" s="34">
        <f>VLOOKUP($D97,'Khung_CTĐT_CNTT_K30 (2024)'!$B$10:$L$96,'Ke hoach giảng dạy CNTT'!F$6,0)</f>
        <v>4</v>
      </c>
      <c r="G97" s="34">
        <f>VLOOKUP($D97,'Khung_CTĐT_CNTT_K30 (2024)'!$B$10:$L$96,'Ke hoach giảng dạy CNTT'!G$6,0)</f>
        <v>0</v>
      </c>
      <c r="H97" s="34">
        <f>VLOOKUP($D97,'Khung_CTĐT_CNTT_K30 (2024)'!$B$10:$L$96,'Ke hoach giảng dạy CNTT'!H$6,0)</f>
        <v>0</v>
      </c>
      <c r="I97" s="34">
        <f>VLOOKUP($D97,'Khung_CTĐT_CNTT_K30 (2024)'!$B$10:$L$96,'Ke hoach giảng dạy CNTT'!I$6,0)</f>
        <v>0</v>
      </c>
      <c r="J97" s="34">
        <f>VLOOKUP($D97,'Khung_CTĐT_CNTT_K30 (2024)'!$B$10:$L$96,'Ke hoach giảng dạy CNTT'!J$6,0)</f>
        <v>180</v>
      </c>
      <c r="K97" s="34" t="str">
        <f>VLOOKUP($D97,'Khung_CTĐT_CNTT_K30 (2024)'!$B$10:$L$96,'Ke hoach giảng dạy CNTT'!K$6,0)</f>
        <v>BB</v>
      </c>
      <c r="L97" s="270" t="str">
        <f>VLOOKUP($D97,'Khung_CTĐT_CNTT_K30 (2024)'!$B$10:$L$96,'Ke hoach giảng dạy CNTT'!L$6,0)</f>
        <v>Không</v>
      </c>
      <c r="M97" s="36" t="str">
        <f>VLOOKUP($D97,'Khung_CTĐT_CNTT_K30 (2024)'!$B$10:$L$96,'Ke hoach giảng dạy CNTT'!M$6,0)</f>
        <v>[71ITSE30103] Kỹ thuật lập trình</v>
      </c>
      <c r="N97" s="118"/>
      <c r="O97" s="108"/>
      <c r="Q97" s="272">
        <f t="shared" ref="Q97" si="8">Q96</f>
        <v>9</v>
      </c>
      <c r="R97" s="17" t="str">
        <f>IFERROR(VLOOKUP(D97,$D$9:D96,1,0),"")</f>
        <v/>
      </c>
    </row>
    <row r="98" spans="1:20" ht="15.75" customHeight="1" x14ac:dyDescent="0.3">
      <c r="A98" s="344" t="s">
        <v>99</v>
      </c>
      <c r="B98" s="52">
        <v>1</v>
      </c>
      <c r="C98" s="52"/>
      <c r="D98" s="53"/>
      <c r="E98" s="112"/>
      <c r="F98" s="54"/>
      <c r="G98" s="54"/>
      <c r="H98" s="54"/>
      <c r="I98" s="54"/>
      <c r="J98" s="54"/>
      <c r="K98" s="54"/>
      <c r="L98" s="55"/>
      <c r="M98" s="56"/>
      <c r="N98" s="117">
        <f>SUM(F98:F100)</f>
        <v>6</v>
      </c>
      <c r="O98" s="202"/>
      <c r="P98" s="113">
        <f>P94+N98</f>
        <v>126</v>
      </c>
      <c r="Q98" s="272">
        <v>10</v>
      </c>
      <c r="R98" s="17" t="str">
        <f>IFERROR(VLOOKUP(D98,$D$9:D97,1,0),"")</f>
        <v/>
      </c>
    </row>
    <row r="99" spans="1:20" ht="17.25" customHeight="1" x14ac:dyDescent="0.3">
      <c r="A99" s="347"/>
      <c r="B99" s="25">
        <v>1</v>
      </c>
      <c r="C99" s="25"/>
      <c r="D99" s="26"/>
      <c r="E99" s="211"/>
      <c r="F99" s="31"/>
      <c r="G99" s="31"/>
      <c r="H99" s="31"/>
      <c r="I99" s="31"/>
      <c r="J99" s="31"/>
      <c r="K99" s="31"/>
      <c r="L99" s="32"/>
      <c r="M99" s="33"/>
      <c r="N99" s="115"/>
      <c r="O99" s="212"/>
      <c r="Q99" s="272">
        <f t="shared" ref="Q99:Q102" si="9">Q98</f>
        <v>10</v>
      </c>
      <c r="R99" s="17" t="str">
        <f>IFERROR(VLOOKUP(D99,$D$9:D98,1,0),"")</f>
        <v/>
      </c>
    </row>
    <row r="100" spans="1:20" ht="25.5" customHeight="1" x14ac:dyDescent="0.3">
      <c r="A100" s="347"/>
      <c r="B100" s="25">
        <v>1</v>
      </c>
      <c r="C100" s="25">
        <v>4</v>
      </c>
      <c r="D100" s="26" t="s">
        <v>100</v>
      </c>
      <c r="E100" s="211" t="str">
        <f>VLOOKUP($D100,'Khung_CTĐT_CNTT_K30 (2024)'!$B$10:$L$96,'Ke hoach giảng dạy CNTT'!E$6,0)</f>
        <v>Đồ án Tốt nghiệp</v>
      </c>
      <c r="F100" s="31">
        <f>VLOOKUP($D100,'Khung_CTĐT_CNTT_K30 (2024)'!$B$10:$L$96,'Ke hoach giảng dạy CNTT'!F$6,0)</f>
        <v>6</v>
      </c>
      <c r="G100" s="31">
        <f>VLOOKUP($D100,'Khung_CTĐT_CNTT_K30 (2024)'!$B$10:$L$96,'Ke hoach giảng dạy CNTT'!G$6,0)</f>
        <v>0</v>
      </c>
      <c r="H100" s="31">
        <f>VLOOKUP($D100,'Khung_CTĐT_CNTT_K30 (2024)'!$B$10:$L$96,'Ke hoach giảng dạy CNTT'!H$6,0)</f>
        <v>0</v>
      </c>
      <c r="I100" s="31">
        <f>VLOOKUP($D100,'Khung_CTĐT_CNTT_K30 (2024)'!$B$10:$L$96,'Ke hoach giảng dạy CNTT'!I$6,0)</f>
        <v>270</v>
      </c>
      <c r="J100" s="31">
        <f>VLOOKUP($D100,'Khung_CTĐT_CNTT_K30 (2024)'!$B$10:$L$96,'Ke hoach giảng dạy CNTT'!J$6,0)</f>
        <v>0</v>
      </c>
      <c r="K100" s="31" t="str">
        <f>VLOOKUP($D100,'Khung_CTĐT_CNTT_K30 (2024)'!$B$10:$L$96,'Ke hoach giảng dạy CNTT'!K$6,0)</f>
        <v>TC406</v>
      </c>
      <c r="L100" s="32" t="str">
        <f>VLOOKUP($D100,'Khung_CTĐT_CNTT_K30 (2024)'!$B$10:$L$96,'Ke hoach giảng dạy CNTT'!L$6,0)</f>
        <v>Không</v>
      </c>
      <c r="M100" s="33" t="str">
        <f>VLOOKUP($D100,'Khung_CTĐT_CNTT_K30 (2024)'!$B$10:$L$96,'Ke hoach giảng dạy CNTT'!M$6,0)</f>
        <v>Dựa theo quy định cụ thể của Khoa về Triển khai Học và làm ĐATN</v>
      </c>
      <c r="N100" s="115"/>
      <c r="O100" s="212"/>
      <c r="Q100" s="272">
        <f t="shared" si="9"/>
        <v>10</v>
      </c>
      <c r="R100" s="17" t="str">
        <f>IFERROR(VLOOKUP(D100,$D$9:D99,1,0),"")</f>
        <v/>
      </c>
    </row>
    <row r="101" spans="1:20" ht="25.5" customHeight="1" x14ac:dyDescent="0.3">
      <c r="A101" s="347"/>
      <c r="B101" s="25">
        <v>1</v>
      </c>
      <c r="C101" s="25">
        <v>4</v>
      </c>
      <c r="D101" s="26" t="s">
        <v>621</v>
      </c>
      <c r="E101" s="211" t="str">
        <f>VLOOKUP($D101,'Khung_CTĐT_CNTT_K30 (2024)'!$B$10:$L$96,'Ke hoach giảng dạy CNTT'!E$6,0)</f>
        <v>Chuyên đề Tốt nghiệp 1</v>
      </c>
      <c r="F101" s="31">
        <f>VLOOKUP($D101,'Khung_CTĐT_CNTT_K30 (2024)'!$B$10:$L$96,'Ke hoach giảng dạy CNTT'!F$6,0)</f>
        <v>3</v>
      </c>
      <c r="G101" s="31">
        <f>VLOOKUP($D101,'Khung_CTĐT_CNTT_K30 (2024)'!$B$10:$L$96,'Ke hoach giảng dạy CNTT'!G$6,0)</f>
        <v>0</v>
      </c>
      <c r="H101" s="31">
        <f>VLOOKUP($D101,'Khung_CTĐT_CNTT_K30 (2024)'!$B$10:$L$96,'Ke hoach giảng dạy CNTT'!H$6,0)</f>
        <v>0</v>
      </c>
      <c r="I101" s="31">
        <f>VLOOKUP($D101,'Khung_CTĐT_CNTT_K30 (2024)'!$B$10:$L$96,'Ke hoach giảng dạy CNTT'!I$6,0)</f>
        <v>180</v>
      </c>
      <c r="J101" s="31">
        <f>VLOOKUP($D101,'Khung_CTĐT_CNTT_K30 (2024)'!$B$10:$L$96,'Ke hoach giảng dạy CNTT'!J$6,0)</f>
        <v>0</v>
      </c>
      <c r="K101" s="31" t="str">
        <f>VLOOKUP($D101,'Khung_CTĐT_CNTT_K30 (2024)'!$B$10:$L$96,'Ke hoach giảng dạy CNTT'!K$6,0)</f>
        <v>TC406</v>
      </c>
      <c r="L101" s="32" t="str">
        <f>VLOOKUP($D101,'Khung_CTĐT_CNTT_K30 (2024)'!$B$10:$L$96,'Ke hoach giảng dạy CNTT'!L$6,0)</f>
        <v>Không</v>
      </c>
      <c r="M101" s="33" t="str">
        <f>VLOOKUP($D101,'Khung_CTĐT_CNTT_K30 (2024)'!$B$10:$L$96,'Ke hoach giảng dạy CNTT'!M$6,0)</f>
        <v>Dựa theo quy định cụ thể của Khoa về Triển khai Học và làm ĐATN</v>
      </c>
      <c r="N101" s="115"/>
      <c r="O101" s="212"/>
      <c r="Q101" s="272">
        <f t="shared" si="9"/>
        <v>10</v>
      </c>
      <c r="R101" s="17" t="str">
        <f>IFERROR(VLOOKUP(D101,$D$9:D100,1,0),"")</f>
        <v/>
      </c>
    </row>
    <row r="102" spans="1:20" ht="25.5" customHeight="1" x14ac:dyDescent="0.3">
      <c r="A102" s="354"/>
      <c r="B102" s="25">
        <v>1</v>
      </c>
      <c r="C102" s="25">
        <v>4</v>
      </c>
      <c r="D102" s="26" t="s">
        <v>624</v>
      </c>
      <c r="E102" s="211" t="str">
        <f>VLOOKUP($D102,'Khung_CTĐT_CNTT_K30 (2024)'!$B$10:$L$96,'Ke hoach giảng dạy CNTT'!E$6,0)</f>
        <v>Chuyên đề Tốt nghiệp 2</v>
      </c>
      <c r="F102" s="31">
        <f>VLOOKUP($D102,'Khung_CTĐT_CNTT_K30 (2024)'!$B$10:$L$96,'Ke hoach giảng dạy CNTT'!F$6,0)</f>
        <v>3</v>
      </c>
      <c r="G102" s="31">
        <f>VLOOKUP($D102,'Khung_CTĐT_CNTT_K30 (2024)'!$B$10:$L$96,'Ke hoach giảng dạy CNTT'!G$6,0)</f>
        <v>0</v>
      </c>
      <c r="H102" s="31">
        <f>VLOOKUP($D102,'Khung_CTĐT_CNTT_K30 (2024)'!$B$10:$L$96,'Ke hoach giảng dạy CNTT'!H$6,0)</f>
        <v>0</v>
      </c>
      <c r="I102" s="31">
        <f>VLOOKUP($D102,'Khung_CTĐT_CNTT_K30 (2024)'!$B$10:$L$96,'Ke hoach giảng dạy CNTT'!I$6,0)</f>
        <v>180</v>
      </c>
      <c r="J102" s="31">
        <f>VLOOKUP($D102,'Khung_CTĐT_CNTT_K30 (2024)'!$B$10:$L$96,'Ke hoach giảng dạy CNTT'!J$6,0)</f>
        <v>0</v>
      </c>
      <c r="K102" s="31" t="str">
        <f>VLOOKUP($D102,'Khung_CTĐT_CNTT_K30 (2024)'!$B$10:$L$96,'Ke hoach giảng dạy CNTT'!K$6,0)</f>
        <v>TC406</v>
      </c>
      <c r="L102" s="32" t="str">
        <f>VLOOKUP($D102,'Khung_CTĐT_CNTT_K30 (2024)'!$B$10:$L$96,'Ke hoach giảng dạy CNTT'!L$6,0)</f>
        <v>Không</v>
      </c>
      <c r="M102" s="33" t="str">
        <f>VLOOKUP($D102,'Khung_CTĐT_CNTT_K30 (2024)'!$B$10:$L$96,'Ke hoach giảng dạy CNTT'!M$6,0)</f>
        <v>Dựa theo quy định cụ thể của Khoa về Triển khai Học và làm ĐATN</v>
      </c>
      <c r="N102" s="115"/>
      <c r="O102" s="212"/>
      <c r="Q102" s="272">
        <f t="shared" si="9"/>
        <v>10</v>
      </c>
      <c r="R102" s="17" t="str">
        <f>IFERROR(VLOOKUP(D102,$D$9:D101,1,0),"")</f>
        <v/>
      </c>
    </row>
    <row r="103" spans="1:20" s="90" customFormat="1" ht="17.399999999999999" thickBot="1" x14ac:dyDescent="0.35">
      <c r="A103" s="213"/>
      <c r="B103" s="91"/>
      <c r="C103" s="91"/>
      <c r="D103" s="58"/>
      <c r="E103" s="93"/>
      <c r="F103" s="92"/>
      <c r="G103" s="92"/>
      <c r="H103" s="92"/>
      <c r="I103" s="92"/>
      <c r="J103" s="92"/>
      <c r="K103" s="92"/>
      <c r="L103" s="94"/>
      <c r="M103" s="95"/>
      <c r="N103" s="203"/>
      <c r="O103" s="204"/>
      <c r="P103" s="295"/>
      <c r="Q103" s="273"/>
      <c r="T103" s="17"/>
    </row>
    <row r="105" spans="1:20" x14ac:dyDescent="0.3">
      <c r="L105" s="351" t="s">
        <v>103</v>
      </c>
      <c r="M105" s="351"/>
      <c r="N105" s="351"/>
      <c r="O105" s="351"/>
    </row>
    <row r="106" spans="1:20" x14ac:dyDescent="0.3">
      <c r="L106" s="352" t="s">
        <v>104</v>
      </c>
      <c r="M106" s="352"/>
      <c r="N106" s="352"/>
      <c r="O106" s="352"/>
    </row>
    <row r="107" spans="1:20" x14ac:dyDescent="0.3">
      <c r="M107" s="97"/>
      <c r="N107" s="120"/>
      <c r="O107" s="16"/>
    </row>
    <row r="108" spans="1:20" x14ac:dyDescent="0.3">
      <c r="M108" s="97"/>
      <c r="N108" s="120"/>
      <c r="O108" s="16"/>
    </row>
    <row r="109" spans="1:20" x14ac:dyDescent="0.3">
      <c r="M109" s="97"/>
      <c r="N109" s="120"/>
      <c r="O109" s="16"/>
    </row>
    <row r="110" spans="1:20" x14ac:dyDescent="0.3">
      <c r="M110" s="97"/>
      <c r="N110" s="120"/>
      <c r="O110" s="16"/>
      <c r="T110" s="90"/>
    </row>
    <row r="111" spans="1:20" x14ac:dyDescent="0.3">
      <c r="M111" s="343"/>
      <c r="N111" s="343"/>
      <c r="O111" s="343"/>
    </row>
  </sheetData>
  <sortState xmlns:xlrd2="http://schemas.microsoft.com/office/spreadsheetml/2017/richdata2" ref="T80:T173">
    <sortCondition ref="T80:T173"/>
  </sortState>
  <mergeCells count="25">
    <mergeCell ref="M111:O111"/>
    <mergeCell ref="A9:A17"/>
    <mergeCell ref="A18:A23"/>
    <mergeCell ref="A35:A44"/>
    <mergeCell ref="A59:A75"/>
    <mergeCell ref="A76:A93"/>
    <mergeCell ref="A30:A34"/>
    <mergeCell ref="A24:A29"/>
    <mergeCell ref="A45:A58"/>
    <mergeCell ref="L105:O105"/>
    <mergeCell ref="L106:O106"/>
    <mergeCell ref="A94:A97"/>
    <mergeCell ref="A98:A102"/>
    <mergeCell ref="A7:A8"/>
    <mergeCell ref="B7:B8"/>
    <mergeCell ref="D7:D8"/>
    <mergeCell ref="E7:E8"/>
    <mergeCell ref="O7:O8"/>
    <mergeCell ref="N7:N8"/>
    <mergeCell ref="L7:L8"/>
    <mergeCell ref="M7:M8"/>
    <mergeCell ref="F7:F8"/>
    <mergeCell ref="G7:J7"/>
    <mergeCell ref="K7:K8"/>
    <mergeCell ref="C7:C8"/>
  </mergeCells>
  <conditionalFormatting sqref="A9:M103">
    <cfRule type="expression" dxfId="57" priority="1">
      <formula>MOD($Q9,2)&lt;&gt;0</formula>
    </cfRule>
  </conditionalFormatting>
  <conditionalFormatting sqref="D61:M61 D63:M64 D66:M67 D69:M70 D78:M78 D82:M82 D86:M86">
    <cfRule type="expression" dxfId="56" priority="21">
      <formula>#REF!=1</formula>
    </cfRule>
  </conditionalFormatting>
  <pageMargins left="0.15748031496062992" right="0.15748031496062992" top="0.15748031496062992" bottom="0.15748031496062992" header="0.31496062992125984" footer="0.15748031496062992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105"/>
  <sheetViews>
    <sheetView view="pageBreakPreview" topLeftCell="A88" zoomScale="85" zoomScaleNormal="80" zoomScaleSheetLayoutView="85" workbookViewId="0">
      <selection activeCell="M95" sqref="M95:M96"/>
    </sheetView>
  </sheetViews>
  <sheetFormatPr defaultColWidth="8.88671875" defaultRowHeight="14.4" x14ac:dyDescent="0.3"/>
  <cols>
    <col min="1" max="1" width="6" style="1" customWidth="1"/>
    <col min="2" max="2" width="14.109375" style="1" customWidth="1"/>
    <col min="3" max="3" width="28.5546875" style="4" customWidth="1"/>
    <col min="4" max="4" width="36" style="4" bestFit="1" customWidth="1"/>
    <col min="5" max="5" width="6.44140625" style="1" customWidth="1"/>
    <col min="6" max="8" width="5.44140625" style="1" customWidth="1"/>
    <col min="9" max="9" width="7" style="1" customWidth="1"/>
    <col min="10" max="10" width="13" style="5" customWidth="1"/>
    <col min="11" max="11" width="22.109375" style="3" customWidth="1"/>
    <col min="12" max="12" width="37.88671875" style="278" customWidth="1"/>
    <col min="13" max="13" width="32.44140625" style="5" customWidth="1"/>
    <col min="14" max="14" width="22" style="2" bestFit="1" customWidth="1"/>
    <col min="15" max="15" width="29.44140625" style="3" bestFit="1" customWidth="1"/>
    <col min="16" max="16" width="13.88671875" style="3" customWidth="1"/>
    <col min="17" max="17" width="20" style="4" customWidth="1"/>
    <col min="18" max="19" width="9.44140625" style="3" customWidth="1"/>
    <col min="20" max="20" width="8.88671875" style="3"/>
    <col min="21" max="22" width="8.88671875" style="1"/>
    <col min="23" max="16384" width="8.88671875" style="3"/>
  </cols>
  <sheetData>
    <row r="2" spans="1:22" ht="16.8" x14ac:dyDescent="0.3">
      <c r="A2" s="122" t="s">
        <v>0</v>
      </c>
      <c r="B2" s="3"/>
      <c r="C2" s="3"/>
      <c r="D2" s="3"/>
      <c r="J2" s="3"/>
      <c r="L2" s="4"/>
      <c r="M2" s="1"/>
      <c r="N2" s="3"/>
      <c r="O2" s="123"/>
      <c r="P2" s="123"/>
      <c r="Q2" s="279"/>
    </row>
    <row r="3" spans="1:22" ht="16.8" x14ac:dyDescent="0.3">
      <c r="A3" s="122" t="s">
        <v>1</v>
      </c>
      <c r="B3" s="3"/>
      <c r="C3" s="3"/>
      <c r="D3" s="3"/>
      <c r="J3" s="3"/>
      <c r="L3" s="4"/>
      <c r="M3" s="1"/>
      <c r="N3" s="3"/>
      <c r="O3" s="123"/>
      <c r="P3" s="123"/>
      <c r="Q3" s="279"/>
    </row>
    <row r="4" spans="1:22" x14ac:dyDescent="0.3">
      <c r="A4" s="3"/>
      <c r="B4" s="3"/>
      <c r="C4" s="3"/>
      <c r="D4" s="3"/>
      <c r="J4" s="3"/>
      <c r="L4" s="4"/>
      <c r="M4" s="1"/>
      <c r="N4" s="3"/>
      <c r="O4" s="123"/>
      <c r="P4" s="123"/>
      <c r="Q4" s="279"/>
    </row>
    <row r="5" spans="1:22" ht="18.600000000000001" x14ac:dyDescent="0.3">
      <c r="A5" s="124" t="s">
        <v>105</v>
      </c>
      <c r="B5" s="3"/>
      <c r="C5" s="3"/>
      <c r="D5" s="3"/>
      <c r="J5" s="3"/>
      <c r="L5" s="4"/>
      <c r="M5" s="1"/>
      <c r="N5" s="3"/>
      <c r="O5" s="123"/>
      <c r="P5" s="123"/>
      <c r="Q5" s="279"/>
    </row>
    <row r="6" spans="1:22" ht="18.600000000000001" x14ac:dyDescent="0.3">
      <c r="A6" s="124"/>
      <c r="B6" s="3"/>
      <c r="C6" s="3"/>
      <c r="D6" s="3"/>
      <c r="J6" s="3"/>
      <c r="L6" s="4"/>
      <c r="M6" s="1"/>
      <c r="N6" s="3"/>
      <c r="O6" s="123"/>
      <c r="P6" s="123"/>
      <c r="Q6" s="279"/>
    </row>
    <row r="7" spans="1:22" ht="16.8" x14ac:dyDescent="0.3">
      <c r="A7" s="122" t="s">
        <v>106</v>
      </c>
      <c r="B7" s="3"/>
      <c r="C7" s="3"/>
      <c r="D7" s="3"/>
      <c r="J7" s="3"/>
      <c r="L7" s="4"/>
      <c r="M7" s="1"/>
      <c r="N7" s="3"/>
      <c r="O7" s="123"/>
      <c r="P7" s="123"/>
      <c r="Q7" s="279"/>
    </row>
    <row r="8" spans="1:22" ht="15" thickBot="1" x14ac:dyDescent="0.35">
      <c r="A8" s="3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4">
        <v>11</v>
      </c>
      <c r="M8" s="3">
        <v>12</v>
      </c>
      <c r="N8" s="3">
        <v>13</v>
      </c>
      <c r="O8" s="3">
        <v>14</v>
      </c>
      <c r="P8" s="3">
        <v>15</v>
      </c>
      <c r="Q8" s="4">
        <v>16</v>
      </c>
    </row>
    <row r="9" spans="1:22" ht="57" customHeight="1" x14ac:dyDescent="0.3">
      <c r="A9" s="162" t="s">
        <v>3</v>
      </c>
      <c r="B9" s="163" t="s">
        <v>6</v>
      </c>
      <c r="C9" s="163" t="s">
        <v>107</v>
      </c>
      <c r="D9" s="163" t="s">
        <v>108</v>
      </c>
      <c r="E9" s="163" t="s">
        <v>8</v>
      </c>
      <c r="F9" s="163" t="s">
        <v>15</v>
      </c>
      <c r="G9" s="163" t="s">
        <v>16</v>
      </c>
      <c r="H9" s="163" t="s">
        <v>17</v>
      </c>
      <c r="I9" s="163" t="s">
        <v>3</v>
      </c>
      <c r="J9" s="163" t="s">
        <v>109</v>
      </c>
      <c r="K9" s="163" t="s">
        <v>110</v>
      </c>
      <c r="L9" s="163" t="s">
        <v>111</v>
      </c>
      <c r="M9" s="163" t="s">
        <v>112</v>
      </c>
      <c r="N9" s="163" t="s">
        <v>113</v>
      </c>
      <c r="O9" s="164" t="s">
        <v>14</v>
      </c>
      <c r="P9" s="164" t="s">
        <v>114</v>
      </c>
      <c r="Q9" s="205" t="s">
        <v>115</v>
      </c>
      <c r="R9" s="205" t="s">
        <v>116</v>
      </c>
      <c r="S9" s="206" t="s">
        <v>117</v>
      </c>
    </row>
    <row r="10" spans="1:22" ht="27.6" x14ac:dyDescent="0.3">
      <c r="A10" s="125">
        <f>COUNTA($B$10:B10)</f>
        <v>1</v>
      </c>
      <c r="B10" s="71" t="s">
        <v>69</v>
      </c>
      <c r="C10" s="72" t="s">
        <v>118</v>
      </c>
      <c r="D10" s="72" t="s">
        <v>119</v>
      </c>
      <c r="E10" s="71">
        <v>2</v>
      </c>
      <c r="F10" s="71">
        <v>30</v>
      </c>
      <c r="G10" s="71">
        <v>0</v>
      </c>
      <c r="H10" s="71">
        <v>0</v>
      </c>
      <c r="I10" s="71"/>
      <c r="J10" s="71" t="s">
        <v>120</v>
      </c>
      <c r="K10" s="73" t="s">
        <v>121</v>
      </c>
      <c r="L10" s="72" t="s">
        <v>122</v>
      </c>
      <c r="M10" s="236" t="s">
        <v>123</v>
      </c>
      <c r="N10" s="74"/>
      <c r="O10" s="140"/>
      <c r="P10" s="126" t="s">
        <v>124</v>
      </c>
      <c r="Q10" s="127" t="s">
        <v>125</v>
      </c>
      <c r="R10" s="128">
        <v>1</v>
      </c>
      <c r="S10" s="193">
        <v>3</v>
      </c>
      <c r="U10" s="2"/>
    </row>
    <row r="11" spans="1:22" ht="27.6" x14ac:dyDescent="0.3">
      <c r="A11" s="125">
        <f>COUNTA($B$10:B11)</f>
        <v>2</v>
      </c>
      <c r="B11" s="71" t="s">
        <v>605</v>
      </c>
      <c r="C11" s="72" t="s">
        <v>606</v>
      </c>
      <c r="D11" s="72"/>
      <c r="E11" s="71">
        <v>2</v>
      </c>
      <c r="F11" s="71">
        <v>30</v>
      </c>
      <c r="G11" s="71">
        <v>0</v>
      </c>
      <c r="H11" s="71">
        <v>0</v>
      </c>
      <c r="I11" s="71"/>
      <c r="J11" s="71" t="s">
        <v>120</v>
      </c>
      <c r="K11" s="73" t="s">
        <v>121</v>
      </c>
      <c r="L11" s="72" t="s">
        <v>122</v>
      </c>
      <c r="M11" s="236" t="s">
        <v>123</v>
      </c>
      <c r="N11" s="74"/>
      <c r="O11" s="140"/>
      <c r="P11" s="126">
        <v>200111302</v>
      </c>
      <c r="Q11" s="127" t="s">
        <v>126</v>
      </c>
      <c r="R11" s="128">
        <v>1</v>
      </c>
      <c r="S11" s="193">
        <v>3</v>
      </c>
      <c r="U11" s="2"/>
    </row>
    <row r="12" spans="1:22" s="14" customFormat="1" ht="27.6" x14ac:dyDescent="0.3">
      <c r="A12" s="125">
        <f>COUNTA($B$10:B12)</f>
        <v>3</v>
      </c>
      <c r="B12" s="71" t="s">
        <v>30</v>
      </c>
      <c r="C12" s="72" t="s">
        <v>127</v>
      </c>
      <c r="D12" s="72" t="s">
        <v>128</v>
      </c>
      <c r="E12" s="71">
        <v>4</v>
      </c>
      <c r="F12" s="71">
        <v>45</v>
      </c>
      <c r="G12" s="71">
        <v>30</v>
      </c>
      <c r="H12" s="71">
        <v>0</v>
      </c>
      <c r="I12" s="71"/>
      <c r="J12" s="71" t="s">
        <v>120</v>
      </c>
      <c r="K12" s="73" t="s">
        <v>121</v>
      </c>
      <c r="L12" s="72" t="s">
        <v>122</v>
      </c>
      <c r="M12" s="236" t="s">
        <v>123</v>
      </c>
      <c r="N12" s="74"/>
      <c r="O12" s="140"/>
      <c r="P12" s="128" t="s">
        <v>129</v>
      </c>
      <c r="Q12" s="127" t="s">
        <v>130</v>
      </c>
      <c r="R12" s="128">
        <v>2</v>
      </c>
      <c r="S12" s="193">
        <v>1</v>
      </c>
      <c r="T12" s="3"/>
      <c r="U12" s="2"/>
      <c r="V12" s="1"/>
    </row>
    <row r="13" spans="1:22" s="15" customFormat="1" ht="27.6" x14ac:dyDescent="0.3">
      <c r="A13" s="125">
        <f>COUNTA($B$10:B13)</f>
        <v>4</v>
      </c>
      <c r="B13" s="71" t="s">
        <v>38</v>
      </c>
      <c r="C13" s="72" t="s">
        <v>131</v>
      </c>
      <c r="D13" s="72" t="s">
        <v>132</v>
      </c>
      <c r="E13" s="71">
        <v>3</v>
      </c>
      <c r="F13" s="71">
        <v>30</v>
      </c>
      <c r="G13" s="71">
        <v>30</v>
      </c>
      <c r="H13" s="71">
        <v>0</v>
      </c>
      <c r="I13" s="71"/>
      <c r="J13" s="71" t="s">
        <v>120</v>
      </c>
      <c r="K13" s="73" t="s">
        <v>121</v>
      </c>
      <c r="L13" s="72" t="s">
        <v>122</v>
      </c>
      <c r="M13" s="236" t="s">
        <v>123</v>
      </c>
      <c r="N13" s="74"/>
      <c r="O13" s="140"/>
      <c r="P13" s="128" t="s">
        <v>129</v>
      </c>
      <c r="Q13" s="127" t="s">
        <v>130</v>
      </c>
      <c r="R13" s="128">
        <v>3</v>
      </c>
      <c r="S13" s="193">
        <v>1</v>
      </c>
      <c r="T13" s="3"/>
      <c r="U13" s="2"/>
      <c r="V13" s="1"/>
    </row>
    <row r="14" spans="1:22" s="2" customFormat="1" ht="27.6" x14ac:dyDescent="0.3">
      <c r="A14" s="125">
        <f>COUNTA($B$10:B14)</f>
        <v>5</v>
      </c>
      <c r="B14" s="71" t="s">
        <v>22</v>
      </c>
      <c r="C14" s="72" t="s">
        <v>133</v>
      </c>
      <c r="D14" s="72"/>
      <c r="E14" s="71">
        <v>3</v>
      </c>
      <c r="F14" s="71">
        <v>45</v>
      </c>
      <c r="G14" s="71">
        <v>0</v>
      </c>
      <c r="H14" s="71">
        <v>0</v>
      </c>
      <c r="I14" s="71"/>
      <c r="J14" s="71" t="s">
        <v>120</v>
      </c>
      <c r="K14" s="73" t="s">
        <v>121</v>
      </c>
      <c r="L14" s="72" t="s">
        <v>121</v>
      </c>
      <c r="M14" s="236" t="s">
        <v>123</v>
      </c>
      <c r="N14" s="74"/>
      <c r="O14" s="140"/>
      <c r="P14" s="126" t="s">
        <v>134</v>
      </c>
      <c r="Q14" s="127" t="s">
        <v>135</v>
      </c>
      <c r="R14" s="128">
        <v>1</v>
      </c>
      <c r="S14" s="193">
        <v>1</v>
      </c>
      <c r="T14" s="3"/>
      <c r="V14" s="1"/>
    </row>
    <row r="15" spans="1:22" ht="27.6" x14ac:dyDescent="0.3">
      <c r="A15" s="125">
        <f>COUNTA($B$10:B15)</f>
        <v>6</v>
      </c>
      <c r="B15" s="71" t="s">
        <v>28</v>
      </c>
      <c r="C15" s="72" t="s">
        <v>136</v>
      </c>
      <c r="D15" s="74" t="s">
        <v>137</v>
      </c>
      <c r="E15" s="71">
        <v>3</v>
      </c>
      <c r="F15" s="71">
        <v>45</v>
      </c>
      <c r="G15" s="71">
        <v>0</v>
      </c>
      <c r="H15" s="71">
        <v>0</v>
      </c>
      <c r="I15" s="71"/>
      <c r="J15" s="71" t="s">
        <v>120</v>
      </c>
      <c r="K15" s="73" t="s">
        <v>121</v>
      </c>
      <c r="L15" s="72" t="s">
        <v>121</v>
      </c>
      <c r="M15" s="236" t="s">
        <v>138</v>
      </c>
      <c r="N15" s="74"/>
      <c r="O15" s="140"/>
      <c r="P15" s="126" t="s">
        <v>139</v>
      </c>
      <c r="Q15" s="127" t="s">
        <v>140</v>
      </c>
      <c r="R15" s="128">
        <v>2</v>
      </c>
      <c r="S15" s="193">
        <v>1</v>
      </c>
      <c r="U15" s="2"/>
    </row>
    <row r="16" spans="1:22" ht="27.6" x14ac:dyDescent="0.3">
      <c r="A16" s="125">
        <f>COUNTA($B$10:B16)</f>
        <v>7</v>
      </c>
      <c r="B16" s="71" t="s">
        <v>34</v>
      </c>
      <c r="C16" s="72" t="s">
        <v>141</v>
      </c>
      <c r="D16" s="74" t="s">
        <v>142</v>
      </c>
      <c r="E16" s="71">
        <v>2</v>
      </c>
      <c r="F16" s="71">
        <v>30</v>
      </c>
      <c r="G16" s="71">
        <v>0</v>
      </c>
      <c r="H16" s="71">
        <v>0</v>
      </c>
      <c r="I16" s="71"/>
      <c r="J16" s="71" t="s">
        <v>120</v>
      </c>
      <c r="K16" s="73" t="s">
        <v>121</v>
      </c>
      <c r="L16" s="72" t="s">
        <v>143</v>
      </c>
      <c r="M16" s="236" t="s">
        <v>138</v>
      </c>
      <c r="N16" s="74"/>
      <c r="O16" s="140"/>
      <c r="P16" s="126" t="s">
        <v>144</v>
      </c>
      <c r="Q16" s="127" t="s">
        <v>145</v>
      </c>
      <c r="R16" s="128">
        <v>3</v>
      </c>
      <c r="S16" s="193">
        <v>1</v>
      </c>
      <c r="U16" s="2"/>
    </row>
    <row r="17" spans="1:22" ht="27.6" x14ac:dyDescent="0.3">
      <c r="A17" s="125">
        <f>COUNTA($B$10:B17)</f>
        <v>8</v>
      </c>
      <c r="B17" s="71" t="s">
        <v>44</v>
      </c>
      <c r="C17" s="72" t="s">
        <v>146</v>
      </c>
      <c r="D17" s="74" t="s">
        <v>147</v>
      </c>
      <c r="E17" s="71">
        <v>2</v>
      </c>
      <c r="F17" s="71">
        <v>30</v>
      </c>
      <c r="G17" s="71">
        <v>0</v>
      </c>
      <c r="H17" s="71">
        <v>0</v>
      </c>
      <c r="I17" s="71"/>
      <c r="J17" s="71" t="s">
        <v>120</v>
      </c>
      <c r="K17" s="73" t="s">
        <v>121</v>
      </c>
      <c r="L17" s="72" t="s">
        <v>143</v>
      </c>
      <c r="M17" s="236" t="s">
        <v>138</v>
      </c>
      <c r="N17" s="74"/>
      <c r="O17" s="140"/>
      <c r="P17" s="126" t="s">
        <v>139</v>
      </c>
      <c r="Q17" s="127" t="s">
        <v>140</v>
      </c>
      <c r="R17" s="128">
        <v>1</v>
      </c>
      <c r="S17" s="193">
        <v>2</v>
      </c>
      <c r="U17" s="2"/>
    </row>
    <row r="18" spans="1:22" ht="41.4" x14ac:dyDescent="0.3">
      <c r="A18" s="125">
        <f>COUNTA($B$10:B18)</f>
        <v>9</v>
      </c>
      <c r="B18" s="71" t="s">
        <v>97</v>
      </c>
      <c r="C18" s="72" t="s">
        <v>148</v>
      </c>
      <c r="D18" s="74" t="s">
        <v>149</v>
      </c>
      <c r="E18" s="71">
        <v>2</v>
      </c>
      <c r="F18" s="71">
        <v>30</v>
      </c>
      <c r="G18" s="71">
        <v>0</v>
      </c>
      <c r="H18" s="71">
        <v>0</v>
      </c>
      <c r="I18" s="71"/>
      <c r="J18" s="71" t="s">
        <v>120</v>
      </c>
      <c r="K18" s="73" t="s">
        <v>121</v>
      </c>
      <c r="L18" s="72" t="s">
        <v>150</v>
      </c>
      <c r="M18" s="236" t="s">
        <v>138</v>
      </c>
      <c r="N18" s="74"/>
      <c r="O18" s="140"/>
      <c r="P18" s="126" t="s">
        <v>151</v>
      </c>
      <c r="Q18" s="127" t="s">
        <v>152</v>
      </c>
      <c r="R18" s="128">
        <v>2</v>
      </c>
      <c r="S18" s="193">
        <v>2</v>
      </c>
      <c r="U18" s="2"/>
    </row>
    <row r="19" spans="1:22" ht="41.4" x14ac:dyDescent="0.3">
      <c r="A19" s="125">
        <f>COUNTA($B$10:B19)</f>
        <v>10</v>
      </c>
      <c r="B19" s="71" t="s">
        <v>96</v>
      </c>
      <c r="C19" s="72" t="s">
        <v>153</v>
      </c>
      <c r="D19" s="74" t="s">
        <v>154</v>
      </c>
      <c r="E19" s="71">
        <v>2</v>
      </c>
      <c r="F19" s="71">
        <v>30</v>
      </c>
      <c r="G19" s="71">
        <v>0</v>
      </c>
      <c r="H19" s="71">
        <v>0</v>
      </c>
      <c r="I19" s="71"/>
      <c r="J19" s="71" t="s">
        <v>120</v>
      </c>
      <c r="K19" s="73" t="s">
        <v>121</v>
      </c>
      <c r="L19" s="72" t="s">
        <v>150</v>
      </c>
      <c r="M19" s="236" t="s">
        <v>138</v>
      </c>
      <c r="N19" s="74"/>
      <c r="O19" s="140"/>
      <c r="P19" s="126" t="s">
        <v>151</v>
      </c>
      <c r="Q19" s="127" t="s">
        <v>152</v>
      </c>
      <c r="R19" s="128">
        <v>3</v>
      </c>
      <c r="S19" s="193">
        <v>2</v>
      </c>
      <c r="U19" s="2"/>
    </row>
    <row r="20" spans="1:22" ht="27.6" x14ac:dyDescent="0.3">
      <c r="A20" s="125">
        <f>COUNTA($B$10:B20)</f>
        <v>11</v>
      </c>
      <c r="B20" s="71" t="s">
        <v>19</v>
      </c>
      <c r="C20" s="72" t="s">
        <v>155</v>
      </c>
      <c r="D20" s="72" t="s">
        <v>156</v>
      </c>
      <c r="E20" s="71">
        <v>3</v>
      </c>
      <c r="F20" s="71">
        <v>30</v>
      </c>
      <c r="G20" s="71">
        <v>30</v>
      </c>
      <c r="H20" s="71">
        <v>0</v>
      </c>
      <c r="I20" s="71"/>
      <c r="J20" s="71" t="s">
        <v>120</v>
      </c>
      <c r="K20" s="73" t="s">
        <v>157</v>
      </c>
      <c r="L20" s="72" t="s">
        <v>122</v>
      </c>
      <c r="M20" s="236" t="s">
        <v>158</v>
      </c>
      <c r="N20" s="74"/>
      <c r="O20" s="140"/>
      <c r="P20" s="126">
        <v>200112601</v>
      </c>
      <c r="Q20" s="127" t="s">
        <v>159</v>
      </c>
      <c r="R20" s="128">
        <v>1</v>
      </c>
      <c r="S20" s="193">
        <v>1</v>
      </c>
      <c r="U20" s="2"/>
    </row>
    <row r="21" spans="1:22" ht="27.6" x14ac:dyDescent="0.3">
      <c r="A21" s="125">
        <f>COUNTA($B$10:B21)</f>
        <v>12</v>
      </c>
      <c r="B21" s="71" t="s">
        <v>29</v>
      </c>
      <c r="C21" s="72" t="s">
        <v>160</v>
      </c>
      <c r="D21" s="72" t="s">
        <v>161</v>
      </c>
      <c r="E21" s="71">
        <v>3</v>
      </c>
      <c r="F21" s="71">
        <v>30</v>
      </c>
      <c r="G21" s="71">
        <v>30</v>
      </c>
      <c r="H21" s="71">
        <v>0</v>
      </c>
      <c r="I21" s="71"/>
      <c r="J21" s="71" t="s">
        <v>120</v>
      </c>
      <c r="K21" s="73" t="s">
        <v>162</v>
      </c>
      <c r="L21" s="72" t="s">
        <v>122</v>
      </c>
      <c r="M21" s="236" t="s">
        <v>158</v>
      </c>
      <c r="N21" s="74"/>
      <c r="O21" s="140"/>
      <c r="P21" s="126">
        <v>200112601</v>
      </c>
      <c r="Q21" s="127" t="s">
        <v>159</v>
      </c>
      <c r="R21" s="128">
        <v>2</v>
      </c>
      <c r="S21" s="193">
        <v>1</v>
      </c>
      <c r="U21" s="2"/>
    </row>
    <row r="22" spans="1:22" ht="27.6" x14ac:dyDescent="0.3">
      <c r="A22" s="125">
        <f>COUNTA($B$10:B22)</f>
        <v>13</v>
      </c>
      <c r="B22" s="71" t="s">
        <v>35</v>
      </c>
      <c r="C22" s="72" t="s">
        <v>163</v>
      </c>
      <c r="D22" s="72" t="s">
        <v>164</v>
      </c>
      <c r="E22" s="71">
        <v>3</v>
      </c>
      <c r="F22" s="71">
        <v>30</v>
      </c>
      <c r="G22" s="71">
        <v>30</v>
      </c>
      <c r="H22" s="71">
        <v>0</v>
      </c>
      <c r="I22" s="71"/>
      <c r="J22" s="71" t="s">
        <v>120</v>
      </c>
      <c r="K22" s="73" t="s">
        <v>165</v>
      </c>
      <c r="L22" s="72" t="s">
        <v>122</v>
      </c>
      <c r="M22" s="236" t="s">
        <v>158</v>
      </c>
      <c r="N22" s="74"/>
      <c r="O22" s="140"/>
      <c r="P22" s="126">
        <v>200112601</v>
      </c>
      <c r="Q22" s="127" t="s">
        <v>159</v>
      </c>
      <c r="R22" s="128">
        <v>3</v>
      </c>
      <c r="S22" s="193">
        <v>1</v>
      </c>
      <c r="U22" s="2"/>
    </row>
    <row r="23" spans="1:22" ht="27.6" x14ac:dyDescent="0.3">
      <c r="A23" s="125">
        <f>COUNTA($B$10:B23)</f>
        <v>14</v>
      </c>
      <c r="B23" s="71" t="s">
        <v>40</v>
      </c>
      <c r="C23" s="72" t="s">
        <v>166</v>
      </c>
      <c r="D23" s="72" t="s">
        <v>167</v>
      </c>
      <c r="E23" s="71">
        <v>3</v>
      </c>
      <c r="F23" s="71">
        <v>30</v>
      </c>
      <c r="G23" s="71">
        <v>30</v>
      </c>
      <c r="H23" s="71">
        <v>0</v>
      </c>
      <c r="I23" s="71"/>
      <c r="J23" s="71" t="s">
        <v>120</v>
      </c>
      <c r="K23" s="73" t="s">
        <v>168</v>
      </c>
      <c r="L23" s="72" t="s">
        <v>122</v>
      </c>
      <c r="M23" s="236" t="s">
        <v>158</v>
      </c>
      <c r="N23" s="74"/>
      <c r="O23" s="140"/>
      <c r="P23" s="126">
        <v>200112601</v>
      </c>
      <c r="Q23" s="127" t="s">
        <v>159</v>
      </c>
      <c r="R23" s="128">
        <v>1</v>
      </c>
      <c r="S23" s="193">
        <v>2</v>
      </c>
      <c r="U23" s="2"/>
    </row>
    <row r="24" spans="1:22" ht="27.6" x14ac:dyDescent="0.3">
      <c r="A24" s="125">
        <f>COUNTA($B$10:B24)</f>
        <v>15</v>
      </c>
      <c r="B24" s="71" t="s">
        <v>45</v>
      </c>
      <c r="C24" s="72" t="s">
        <v>169</v>
      </c>
      <c r="D24" s="72" t="s">
        <v>170</v>
      </c>
      <c r="E24" s="71">
        <v>3</v>
      </c>
      <c r="F24" s="71">
        <v>30</v>
      </c>
      <c r="G24" s="71">
        <v>30</v>
      </c>
      <c r="H24" s="71">
        <v>0</v>
      </c>
      <c r="I24" s="71"/>
      <c r="J24" s="71" t="s">
        <v>120</v>
      </c>
      <c r="K24" s="73" t="s">
        <v>171</v>
      </c>
      <c r="L24" s="72" t="s">
        <v>122</v>
      </c>
      <c r="M24" s="236" t="s">
        <v>158</v>
      </c>
      <c r="N24" s="74"/>
      <c r="O24" s="140"/>
      <c r="P24" s="126">
        <v>200112601</v>
      </c>
      <c r="Q24" s="127" t="s">
        <v>159</v>
      </c>
      <c r="R24" s="128">
        <v>2</v>
      </c>
      <c r="S24" s="193">
        <v>2</v>
      </c>
      <c r="U24" s="2"/>
    </row>
    <row r="25" spans="1:22" ht="27.6" x14ac:dyDescent="0.3">
      <c r="A25" s="125">
        <f>COUNTA($B$10:B25)</f>
        <v>16</v>
      </c>
      <c r="B25" s="71" t="s">
        <v>55</v>
      </c>
      <c r="C25" s="72" t="s">
        <v>172</v>
      </c>
      <c r="D25" s="72" t="s">
        <v>173</v>
      </c>
      <c r="E25" s="71">
        <v>3</v>
      </c>
      <c r="F25" s="71">
        <v>45</v>
      </c>
      <c r="G25" s="71">
        <v>0</v>
      </c>
      <c r="H25" s="71">
        <v>0</v>
      </c>
      <c r="I25" s="71"/>
      <c r="J25" s="71" t="s">
        <v>120</v>
      </c>
      <c r="K25" s="73" t="s">
        <v>174</v>
      </c>
      <c r="L25" s="72" t="s">
        <v>122</v>
      </c>
      <c r="M25" s="236" t="s">
        <v>158</v>
      </c>
      <c r="N25" s="74"/>
      <c r="O25" s="140"/>
      <c r="P25" s="126">
        <v>200112601</v>
      </c>
      <c r="Q25" s="127" t="s">
        <v>159</v>
      </c>
      <c r="R25" s="128">
        <v>3</v>
      </c>
      <c r="S25" s="193">
        <v>2</v>
      </c>
      <c r="U25" s="2"/>
    </row>
    <row r="26" spans="1:22" ht="27.6" x14ac:dyDescent="0.3">
      <c r="A26" s="125">
        <f>COUNTA($B$10:B26)</f>
        <v>17</v>
      </c>
      <c r="B26" s="71" t="s">
        <v>68</v>
      </c>
      <c r="C26" s="72" t="s">
        <v>175</v>
      </c>
      <c r="D26" s="72" t="s">
        <v>176</v>
      </c>
      <c r="E26" s="71">
        <v>3</v>
      </c>
      <c r="F26" s="71">
        <v>45</v>
      </c>
      <c r="G26" s="71">
        <v>0</v>
      </c>
      <c r="H26" s="71">
        <v>0</v>
      </c>
      <c r="I26" s="71"/>
      <c r="J26" s="71" t="s">
        <v>120</v>
      </c>
      <c r="K26" s="73" t="s">
        <v>177</v>
      </c>
      <c r="L26" s="72" t="s">
        <v>122</v>
      </c>
      <c r="M26" s="236" t="s">
        <v>158</v>
      </c>
      <c r="N26" s="74"/>
      <c r="O26" s="140"/>
      <c r="P26" s="126">
        <v>200112601</v>
      </c>
      <c r="Q26" s="127" t="s">
        <v>159</v>
      </c>
      <c r="R26" s="128">
        <v>1</v>
      </c>
      <c r="S26" s="193">
        <v>3</v>
      </c>
      <c r="U26" s="2"/>
    </row>
    <row r="27" spans="1:22" s="2" customFormat="1" ht="27.6" x14ac:dyDescent="0.3">
      <c r="A27" s="125">
        <f>COUNTA($B$10:B27)</f>
        <v>18</v>
      </c>
      <c r="B27" s="71" t="s">
        <v>178</v>
      </c>
      <c r="C27" s="72" t="s">
        <v>179</v>
      </c>
      <c r="D27" s="72"/>
      <c r="E27" s="71">
        <v>2</v>
      </c>
      <c r="F27" s="71">
        <v>45</v>
      </c>
      <c r="G27" s="71">
        <v>60</v>
      </c>
      <c r="H27" s="71">
        <v>0</v>
      </c>
      <c r="I27" s="71"/>
      <c r="J27" s="71" t="s">
        <v>180</v>
      </c>
      <c r="K27" s="73" t="s">
        <v>121</v>
      </c>
      <c r="L27" s="72" t="s">
        <v>121</v>
      </c>
      <c r="M27" s="236" t="s">
        <v>181</v>
      </c>
      <c r="N27" s="74"/>
      <c r="O27" s="141"/>
      <c r="P27" s="126">
        <v>200113501</v>
      </c>
      <c r="Q27" s="127" t="s">
        <v>182</v>
      </c>
      <c r="R27" s="128">
        <v>2</v>
      </c>
      <c r="S27" s="193">
        <v>1</v>
      </c>
      <c r="T27" s="3"/>
      <c r="V27" s="1"/>
    </row>
    <row r="28" spans="1:22" s="2" customFormat="1" ht="27.6" x14ac:dyDescent="0.3">
      <c r="A28" s="125">
        <f>COUNTA($B$10:B28)</f>
        <v>19</v>
      </c>
      <c r="B28" s="71" t="s">
        <v>183</v>
      </c>
      <c r="C28" s="72" t="s">
        <v>184</v>
      </c>
      <c r="D28" s="72"/>
      <c r="E28" s="71">
        <v>2</v>
      </c>
      <c r="F28" s="71">
        <v>45</v>
      </c>
      <c r="G28" s="71">
        <v>60</v>
      </c>
      <c r="H28" s="71">
        <v>0</v>
      </c>
      <c r="I28" s="71"/>
      <c r="J28" s="71" t="s">
        <v>180</v>
      </c>
      <c r="K28" s="73" t="s">
        <v>121</v>
      </c>
      <c r="L28" s="72" t="s">
        <v>121</v>
      </c>
      <c r="M28" s="236" t="s">
        <v>181</v>
      </c>
      <c r="N28" s="74"/>
      <c r="O28" s="141"/>
      <c r="P28" s="126">
        <v>200113501</v>
      </c>
      <c r="Q28" s="127" t="s">
        <v>182</v>
      </c>
      <c r="R28" s="128">
        <v>2</v>
      </c>
      <c r="S28" s="193">
        <v>1</v>
      </c>
      <c r="T28" s="3"/>
      <c r="V28" s="1"/>
    </row>
    <row r="29" spans="1:22" s="2" customFormat="1" ht="27.6" x14ac:dyDescent="0.3">
      <c r="A29" s="125">
        <f>COUNTA($B$10:B29)</f>
        <v>20</v>
      </c>
      <c r="B29" s="71" t="s">
        <v>185</v>
      </c>
      <c r="C29" s="72" t="s">
        <v>186</v>
      </c>
      <c r="D29" s="72"/>
      <c r="E29" s="71">
        <v>2</v>
      </c>
      <c r="F29" s="71">
        <v>45</v>
      </c>
      <c r="G29" s="71">
        <v>8</v>
      </c>
      <c r="H29" s="71">
        <v>0</v>
      </c>
      <c r="I29" s="71"/>
      <c r="J29" s="71" t="s">
        <v>180</v>
      </c>
      <c r="K29" s="73" t="s">
        <v>121</v>
      </c>
      <c r="L29" s="72" t="s">
        <v>121</v>
      </c>
      <c r="M29" s="236" t="s">
        <v>181</v>
      </c>
      <c r="N29" s="74"/>
      <c r="O29" s="141"/>
      <c r="P29" s="126">
        <v>200113501</v>
      </c>
      <c r="Q29" s="127" t="s">
        <v>182</v>
      </c>
      <c r="R29" s="128">
        <v>2</v>
      </c>
      <c r="S29" s="193">
        <v>1</v>
      </c>
      <c r="T29" s="3"/>
      <c r="V29" s="1"/>
    </row>
    <row r="30" spans="1:22" s="2" customFormat="1" ht="27.6" x14ac:dyDescent="0.3">
      <c r="A30" s="125">
        <f>COUNTA($B$10:B30)</f>
        <v>21</v>
      </c>
      <c r="B30" s="71" t="s">
        <v>187</v>
      </c>
      <c r="C30" s="72" t="s">
        <v>188</v>
      </c>
      <c r="D30" s="72"/>
      <c r="E30" s="71">
        <v>2</v>
      </c>
      <c r="F30" s="71">
        <v>45</v>
      </c>
      <c r="G30" s="71">
        <v>8</v>
      </c>
      <c r="H30" s="71">
        <v>0</v>
      </c>
      <c r="I30" s="71"/>
      <c r="J30" s="71" t="s">
        <v>189</v>
      </c>
      <c r="K30" s="73" t="s">
        <v>121</v>
      </c>
      <c r="L30" s="72" t="s">
        <v>190</v>
      </c>
      <c r="M30" s="236" t="s">
        <v>181</v>
      </c>
      <c r="N30" s="74"/>
      <c r="O30" s="141"/>
      <c r="P30" s="126">
        <v>200113501</v>
      </c>
      <c r="Q30" s="127" t="s">
        <v>182</v>
      </c>
      <c r="R30" s="128">
        <v>3</v>
      </c>
      <c r="S30" s="193">
        <v>1</v>
      </c>
      <c r="T30" s="3"/>
      <c r="V30" s="1"/>
    </row>
    <row r="31" spans="1:22" s="2" customFormat="1" ht="27.6" x14ac:dyDescent="0.3">
      <c r="A31" s="125">
        <f>COUNTA($B$10:B31)</f>
        <v>22</v>
      </c>
      <c r="B31" s="71" t="s">
        <v>191</v>
      </c>
      <c r="C31" s="72" t="s">
        <v>192</v>
      </c>
      <c r="D31" s="72"/>
      <c r="E31" s="71">
        <v>2</v>
      </c>
      <c r="F31" s="71">
        <v>45</v>
      </c>
      <c r="G31" s="71">
        <v>16</v>
      </c>
      <c r="H31" s="71">
        <v>0</v>
      </c>
      <c r="I31" s="71"/>
      <c r="J31" s="71" t="s">
        <v>189</v>
      </c>
      <c r="K31" s="73" t="s">
        <v>121</v>
      </c>
      <c r="L31" s="72" t="s">
        <v>121</v>
      </c>
      <c r="M31" s="236" t="s">
        <v>181</v>
      </c>
      <c r="N31" s="74"/>
      <c r="O31" s="141"/>
      <c r="P31" s="126">
        <v>200113501</v>
      </c>
      <c r="Q31" s="127" t="s">
        <v>182</v>
      </c>
      <c r="R31" s="128">
        <v>3</v>
      </c>
      <c r="S31" s="193">
        <v>1</v>
      </c>
      <c r="T31" s="3"/>
      <c r="V31" s="1"/>
    </row>
    <row r="32" spans="1:22" s="2" customFormat="1" ht="27.6" x14ac:dyDescent="0.3">
      <c r="A32" s="125">
        <f>COUNTA($B$10:B32)</f>
        <v>23</v>
      </c>
      <c r="B32" s="71" t="s">
        <v>193</v>
      </c>
      <c r="C32" s="72" t="s">
        <v>194</v>
      </c>
      <c r="D32" s="72"/>
      <c r="E32" s="71">
        <v>2</v>
      </c>
      <c r="F32" s="71">
        <v>45</v>
      </c>
      <c r="G32" s="71"/>
      <c r="H32" s="71"/>
      <c r="I32" s="71"/>
      <c r="J32" s="71" t="s">
        <v>189</v>
      </c>
      <c r="K32" s="73" t="s">
        <v>121</v>
      </c>
      <c r="L32" s="72" t="s">
        <v>121</v>
      </c>
      <c r="M32" s="236" t="s">
        <v>181</v>
      </c>
      <c r="N32" s="74"/>
      <c r="O32" s="141"/>
      <c r="P32" s="126">
        <v>200113501</v>
      </c>
      <c r="Q32" s="127" t="s">
        <v>182</v>
      </c>
      <c r="R32" s="128">
        <v>3</v>
      </c>
      <c r="S32" s="193">
        <v>1</v>
      </c>
      <c r="T32" s="3"/>
      <c r="V32" s="1"/>
    </row>
    <row r="33" spans="1:22" s="2" customFormat="1" ht="27.6" x14ac:dyDescent="0.3">
      <c r="A33" s="125">
        <f>COUNTA($B$10:B33)</f>
        <v>24</v>
      </c>
      <c r="B33" s="71" t="s">
        <v>195</v>
      </c>
      <c r="C33" s="72" t="s">
        <v>196</v>
      </c>
      <c r="D33" s="72"/>
      <c r="E33" s="71">
        <v>2</v>
      </c>
      <c r="F33" s="71">
        <v>45</v>
      </c>
      <c r="G33" s="71"/>
      <c r="H33" s="71"/>
      <c r="I33" s="71"/>
      <c r="J33" s="71" t="s">
        <v>189</v>
      </c>
      <c r="K33" s="73" t="s">
        <v>121</v>
      </c>
      <c r="L33" s="72" t="s">
        <v>121</v>
      </c>
      <c r="M33" s="236" t="s">
        <v>181</v>
      </c>
      <c r="N33" s="74"/>
      <c r="O33" s="141"/>
      <c r="P33" s="126">
        <v>200113501</v>
      </c>
      <c r="Q33" s="127" t="s">
        <v>182</v>
      </c>
      <c r="R33" s="128">
        <v>3</v>
      </c>
      <c r="S33" s="193">
        <v>1</v>
      </c>
      <c r="T33" s="3"/>
      <c r="V33" s="1"/>
    </row>
    <row r="34" spans="1:22" s="2" customFormat="1" ht="27.6" x14ac:dyDescent="0.3">
      <c r="A34" s="125">
        <f>COUNTA($B$10:B34)</f>
        <v>25</v>
      </c>
      <c r="B34" s="71" t="s">
        <v>197</v>
      </c>
      <c r="C34" s="72" t="s">
        <v>198</v>
      </c>
      <c r="D34" s="72"/>
      <c r="E34" s="71">
        <v>2</v>
      </c>
      <c r="F34" s="71">
        <v>45</v>
      </c>
      <c r="G34" s="71"/>
      <c r="H34" s="71"/>
      <c r="I34" s="71"/>
      <c r="J34" s="71" t="s">
        <v>189</v>
      </c>
      <c r="K34" s="73" t="s">
        <v>121</v>
      </c>
      <c r="L34" s="72" t="s">
        <v>121</v>
      </c>
      <c r="M34" s="236" t="s">
        <v>181</v>
      </c>
      <c r="N34" s="74"/>
      <c r="O34" s="141"/>
      <c r="P34" s="126">
        <v>200113501</v>
      </c>
      <c r="Q34" s="127" t="s">
        <v>182</v>
      </c>
      <c r="R34" s="128">
        <v>3</v>
      </c>
      <c r="S34" s="193">
        <v>1</v>
      </c>
      <c r="T34" s="3"/>
      <c r="V34" s="1"/>
    </row>
    <row r="35" spans="1:22" s="2" customFormat="1" ht="27.6" x14ac:dyDescent="0.3">
      <c r="A35" s="125">
        <f>COUNTA($B$10:B35)</f>
        <v>26</v>
      </c>
      <c r="B35" s="71" t="s">
        <v>199</v>
      </c>
      <c r="C35" s="72" t="s">
        <v>200</v>
      </c>
      <c r="D35" s="72"/>
      <c r="E35" s="71">
        <v>2</v>
      </c>
      <c r="F35" s="71">
        <v>45</v>
      </c>
      <c r="G35" s="71"/>
      <c r="H35" s="71"/>
      <c r="I35" s="71"/>
      <c r="J35" s="71" t="s">
        <v>189</v>
      </c>
      <c r="K35" s="73" t="s">
        <v>121</v>
      </c>
      <c r="L35" s="72" t="s">
        <v>121</v>
      </c>
      <c r="M35" s="236" t="s">
        <v>181</v>
      </c>
      <c r="N35" s="74"/>
      <c r="O35" s="141"/>
      <c r="P35" s="126">
        <v>200113501</v>
      </c>
      <c r="Q35" s="127" t="s">
        <v>182</v>
      </c>
      <c r="R35" s="128">
        <v>3</v>
      </c>
      <c r="S35" s="193">
        <v>1</v>
      </c>
      <c r="T35" s="3"/>
      <c r="V35" s="1"/>
    </row>
    <row r="36" spans="1:22" s="2" customFormat="1" ht="27.6" x14ac:dyDescent="0.3">
      <c r="A36" s="125">
        <f>COUNTA($B$10:B36)</f>
        <v>27</v>
      </c>
      <c r="B36" s="71" t="s">
        <v>201</v>
      </c>
      <c r="C36" s="72" t="s">
        <v>202</v>
      </c>
      <c r="D36" s="72"/>
      <c r="E36" s="71">
        <v>2</v>
      </c>
      <c r="F36" s="71">
        <v>45</v>
      </c>
      <c r="G36" s="71"/>
      <c r="H36" s="71"/>
      <c r="I36" s="71"/>
      <c r="J36" s="71" t="s">
        <v>189</v>
      </c>
      <c r="K36" s="73" t="s">
        <v>121</v>
      </c>
      <c r="L36" s="72" t="s">
        <v>121</v>
      </c>
      <c r="M36" s="236" t="s">
        <v>181</v>
      </c>
      <c r="N36" s="74"/>
      <c r="O36" s="141"/>
      <c r="P36" s="126">
        <v>200113501</v>
      </c>
      <c r="Q36" s="127" t="s">
        <v>182</v>
      </c>
      <c r="R36" s="128">
        <v>3</v>
      </c>
      <c r="S36" s="193">
        <v>1</v>
      </c>
      <c r="T36" s="3"/>
      <c r="V36" s="1"/>
    </row>
    <row r="37" spans="1:22" s="2" customFormat="1" ht="27.6" x14ac:dyDescent="0.3">
      <c r="A37" s="125">
        <f>COUNTA($B$10:B37)</f>
        <v>28</v>
      </c>
      <c r="B37" s="71" t="s">
        <v>203</v>
      </c>
      <c r="C37" s="72" t="s">
        <v>204</v>
      </c>
      <c r="D37" s="72"/>
      <c r="E37" s="71">
        <v>2</v>
      </c>
      <c r="F37" s="71">
        <v>45</v>
      </c>
      <c r="G37" s="71"/>
      <c r="H37" s="71"/>
      <c r="I37" s="71"/>
      <c r="J37" s="71" t="s">
        <v>189</v>
      </c>
      <c r="K37" s="73" t="s">
        <v>121</v>
      </c>
      <c r="L37" s="72" t="s">
        <v>121</v>
      </c>
      <c r="M37" s="236" t="s">
        <v>181</v>
      </c>
      <c r="N37" s="74"/>
      <c r="O37" s="141"/>
      <c r="P37" s="126">
        <v>200113501</v>
      </c>
      <c r="Q37" s="127" t="s">
        <v>182</v>
      </c>
      <c r="R37" s="128">
        <v>3</v>
      </c>
      <c r="S37" s="193">
        <v>1</v>
      </c>
      <c r="T37" s="3"/>
      <c r="V37" s="1"/>
    </row>
    <row r="38" spans="1:22" s="2" customFormat="1" ht="27.6" x14ac:dyDescent="0.3">
      <c r="A38" s="125">
        <f>COUNTA($B$10:B38)</f>
        <v>29</v>
      </c>
      <c r="B38" s="71" t="s">
        <v>205</v>
      </c>
      <c r="C38" s="72" t="s">
        <v>206</v>
      </c>
      <c r="D38" s="72"/>
      <c r="E38" s="71">
        <v>2</v>
      </c>
      <c r="F38" s="71">
        <v>45</v>
      </c>
      <c r="G38" s="71"/>
      <c r="H38" s="71"/>
      <c r="I38" s="71"/>
      <c r="J38" s="71" t="s">
        <v>189</v>
      </c>
      <c r="K38" s="73" t="s">
        <v>121</v>
      </c>
      <c r="L38" s="72" t="s">
        <v>121</v>
      </c>
      <c r="M38" s="236" t="s">
        <v>181</v>
      </c>
      <c r="N38" s="74"/>
      <c r="O38" s="141"/>
      <c r="P38" s="126">
        <v>200113501</v>
      </c>
      <c r="Q38" s="127" t="s">
        <v>182</v>
      </c>
      <c r="R38" s="128">
        <v>3</v>
      </c>
      <c r="S38" s="193">
        <v>1</v>
      </c>
      <c r="T38" s="3"/>
      <c r="V38" s="1"/>
    </row>
    <row r="39" spans="1:22" s="2" customFormat="1" ht="27.6" x14ac:dyDescent="0.3">
      <c r="A39" s="125">
        <f>COUNTA($B$10:B39)</f>
        <v>30</v>
      </c>
      <c r="B39" s="71" t="s">
        <v>207</v>
      </c>
      <c r="C39" s="72" t="s">
        <v>208</v>
      </c>
      <c r="D39" s="72"/>
      <c r="E39" s="71">
        <v>2</v>
      </c>
      <c r="F39" s="71">
        <v>45</v>
      </c>
      <c r="G39" s="71"/>
      <c r="H39" s="71"/>
      <c r="I39" s="71"/>
      <c r="J39" s="71" t="s">
        <v>189</v>
      </c>
      <c r="K39" s="73" t="s">
        <v>121</v>
      </c>
      <c r="L39" s="72" t="s">
        <v>121</v>
      </c>
      <c r="M39" s="236" t="s">
        <v>181</v>
      </c>
      <c r="N39" s="74"/>
      <c r="O39" s="141"/>
      <c r="P39" s="126">
        <v>200113501</v>
      </c>
      <c r="Q39" s="127" t="s">
        <v>182</v>
      </c>
      <c r="R39" s="128">
        <v>3</v>
      </c>
      <c r="S39" s="193">
        <v>1</v>
      </c>
      <c r="T39" s="3"/>
      <c r="V39" s="1"/>
    </row>
    <row r="40" spans="1:22" s="2" customFormat="1" ht="27.6" x14ac:dyDescent="0.3">
      <c r="A40" s="125">
        <f>COUNTA($B$10:B40)</f>
        <v>31</v>
      </c>
      <c r="B40" s="71" t="s">
        <v>209</v>
      </c>
      <c r="C40" s="72" t="s">
        <v>210</v>
      </c>
      <c r="D40" s="72"/>
      <c r="E40" s="71">
        <v>2</v>
      </c>
      <c r="F40" s="71">
        <v>45</v>
      </c>
      <c r="G40" s="71"/>
      <c r="H40" s="71"/>
      <c r="I40" s="71"/>
      <c r="J40" s="71" t="s">
        <v>189</v>
      </c>
      <c r="K40" s="73" t="s">
        <v>121</v>
      </c>
      <c r="L40" s="72" t="s">
        <v>121</v>
      </c>
      <c r="M40" s="236" t="s">
        <v>181</v>
      </c>
      <c r="N40" s="74"/>
      <c r="O40" s="141"/>
      <c r="P40" s="126">
        <v>200113501</v>
      </c>
      <c r="Q40" s="127" t="s">
        <v>182</v>
      </c>
      <c r="R40" s="128">
        <v>3</v>
      </c>
      <c r="S40" s="193">
        <v>1</v>
      </c>
      <c r="T40" s="3"/>
      <c r="V40" s="1"/>
    </row>
    <row r="41" spans="1:22" s="2" customFormat="1" ht="27.6" x14ac:dyDescent="0.3">
      <c r="A41" s="125">
        <f>COUNTA($B$10:B41)</f>
        <v>32</v>
      </c>
      <c r="B41" s="71" t="s">
        <v>211</v>
      </c>
      <c r="C41" s="72" t="s">
        <v>212</v>
      </c>
      <c r="D41" s="72"/>
      <c r="E41" s="71">
        <v>2</v>
      </c>
      <c r="F41" s="71">
        <v>45</v>
      </c>
      <c r="G41" s="71"/>
      <c r="H41" s="71"/>
      <c r="I41" s="71"/>
      <c r="J41" s="71" t="s">
        <v>189</v>
      </c>
      <c r="K41" s="73" t="s">
        <v>121</v>
      </c>
      <c r="L41" s="72" t="s">
        <v>121</v>
      </c>
      <c r="M41" s="236" t="s">
        <v>181</v>
      </c>
      <c r="N41" s="74"/>
      <c r="O41" s="141"/>
      <c r="P41" s="126">
        <v>200113501</v>
      </c>
      <c r="Q41" s="127" t="s">
        <v>182</v>
      </c>
      <c r="R41" s="128">
        <v>3</v>
      </c>
      <c r="S41" s="193">
        <v>1</v>
      </c>
      <c r="T41" s="3"/>
      <c r="V41" s="1"/>
    </row>
    <row r="42" spans="1:22" s="2" customFormat="1" ht="27.6" x14ac:dyDescent="0.3">
      <c r="A42" s="125">
        <f>COUNTA($B$10:B42)</f>
        <v>33</v>
      </c>
      <c r="B42" s="71" t="s">
        <v>213</v>
      </c>
      <c r="C42" s="72" t="s">
        <v>214</v>
      </c>
      <c r="D42" s="72"/>
      <c r="E42" s="71">
        <v>2</v>
      </c>
      <c r="F42" s="71">
        <v>45</v>
      </c>
      <c r="G42" s="71"/>
      <c r="H42" s="71"/>
      <c r="I42" s="71"/>
      <c r="J42" s="71" t="s">
        <v>189</v>
      </c>
      <c r="K42" s="73" t="s">
        <v>121</v>
      </c>
      <c r="L42" s="72" t="s">
        <v>121</v>
      </c>
      <c r="M42" s="236" t="s">
        <v>181</v>
      </c>
      <c r="N42" s="74"/>
      <c r="O42" s="141"/>
      <c r="P42" s="126">
        <v>200113501</v>
      </c>
      <c r="Q42" s="127" t="s">
        <v>182</v>
      </c>
      <c r="R42" s="128">
        <v>3</v>
      </c>
      <c r="S42" s="193">
        <v>1</v>
      </c>
      <c r="T42" s="3"/>
      <c r="V42" s="1"/>
    </row>
    <row r="43" spans="1:22" s="2" customFormat="1" ht="27.6" x14ac:dyDescent="0.3">
      <c r="A43" s="125">
        <f>COUNTA($B$10:B43)</f>
        <v>34</v>
      </c>
      <c r="B43" s="71" t="s">
        <v>215</v>
      </c>
      <c r="C43" s="72" t="s">
        <v>216</v>
      </c>
      <c r="D43" s="72"/>
      <c r="E43" s="71">
        <v>2</v>
      </c>
      <c r="F43" s="71">
        <v>45</v>
      </c>
      <c r="G43" s="71"/>
      <c r="H43" s="71"/>
      <c r="I43" s="71"/>
      <c r="J43" s="71" t="s">
        <v>189</v>
      </c>
      <c r="K43" s="73" t="s">
        <v>121</v>
      </c>
      <c r="L43" s="72" t="s">
        <v>121</v>
      </c>
      <c r="M43" s="236" t="s">
        <v>181</v>
      </c>
      <c r="N43" s="74"/>
      <c r="O43" s="141"/>
      <c r="P43" s="126">
        <v>200113501</v>
      </c>
      <c r="Q43" s="127" t="s">
        <v>182</v>
      </c>
      <c r="R43" s="128">
        <v>3</v>
      </c>
      <c r="S43" s="193">
        <v>1</v>
      </c>
      <c r="T43" s="3"/>
      <c r="V43" s="1"/>
    </row>
    <row r="44" spans="1:22" s="2" customFormat="1" ht="27.6" x14ac:dyDescent="0.3">
      <c r="A44" s="125">
        <f>COUNTA($B$10:B44)</f>
        <v>35</v>
      </c>
      <c r="B44" s="71" t="s">
        <v>23</v>
      </c>
      <c r="C44" s="72" t="s">
        <v>217</v>
      </c>
      <c r="D44" s="72"/>
      <c r="E44" s="71">
        <v>3</v>
      </c>
      <c r="F44" s="71"/>
      <c r="G44" s="71"/>
      <c r="H44" s="71"/>
      <c r="I44" s="71"/>
      <c r="J44" s="71" t="s">
        <v>120</v>
      </c>
      <c r="K44" s="73" t="s">
        <v>218</v>
      </c>
      <c r="L44" s="72" t="s">
        <v>218</v>
      </c>
      <c r="M44" s="236" t="s">
        <v>181</v>
      </c>
      <c r="N44" s="74"/>
      <c r="O44" s="141"/>
      <c r="P44" s="126">
        <v>200113301</v>
      </c>
      <c r="Q44" s="127" t="s">
        <v>219</v>
      </c>
      <c r="R44" s="128">
        <v>1</v>
      </c>
      <c r="S44" s="193">
        <v>1</v>
      </c>
      <c r="T44" s="3"/>
      <c r="V44" s="1"/>
    </row>
    <row r="45" spans="1:22" s="2" customFormat="1" ht="27.6" x14ac:dyDescent="0.3">
      <c r="A45" s="125">
        <f>COUNTA($B$10:B45)</f>
        <v>36</v>
      </c>
      <c r="B45" s="71" t="s">
        <v>24</v>
      </c>
      <c r="C45" s="72" t="s">
        <v>220</v>
      </c>
      <c r="D45" s="72"/>
      <c r="E45" s="71">
        <v>2</v>
      </c>
      <c r="F45" s="71"/>
      <c r="G45" s="71"/>
      <c r="H45" s="71"/>
      <c r="I45" s="71"/>
      <c r="J45" s="71" t="s">
        <v>120</v>
      </c>
      <c r="K45" s="73" t="s">
        <v>218</v>
      </c>
      <c r="L45" s="72" t="s">
        <v>218</v>
      </c>
      <c r="M45" s="236" t="s">
        <v>181</v>
      </c>
      <c r="N45" s="74"/>
      <c r="O45" s="141"/>
      <c r="P45" s="126">
        <v>200113301</v>
      </c>
      <c r="Q45" s="127" t="s">
        <v>219</v>
      </c>
      <c r="R45" s="128">
        <v>1</v>
      </c>
      <c r="S45" s="193">
        <v>1</v>
      </c>
      <c r="T45" s="3"/>
      <c r="V45" s="1"/>
    </row>
    <row r="46" spans="1:22" s="2" customFormat="1" ht="27.6" x14ac:dyDescent="0.3">
      <c r="A46" s="125">
        <f>COUNTA($B$10:B46)</f>
        <v>37</v>
      </c>
      <c r="B46" s="71" t="s">
        <v>25</v>
      </c>
      <c r="C46" s="72" t="s">
        <v>221</v>
      </c>
      <c r="D46" s="72"/>
      <c r="E46" s="71">
        <v>2</v>
      </c>
      <c r="F46" s="71"/>
      <c r="G46" s="71"/>
      <c r="H46" s="71"/>
      <c r="I46" s="71"/>
      <c r="J46" s="71" t="s">
        <v>120</v>
      </c>
      <c r="K46" s="73" t="s">
        <v>218</v>
      </c>
      <c r="L46" s="72" t="s">
        <v>218</v>
      </c>
      <c r="M46" s="236" t="s">
        <v>181</v>
      </c>
      <c r="N46" s="74"/>
      <c r="O46" s="141"/>
      <c r="P46" s="126">
        <v>200113301</v>
      </c>
      <c r="Q46" s="127" t="s">
        <v>219</v>
      </c>
      <c r="R46" s="128">
        <v>1</v>
      </c>
      <c r="S46" s="193">
        <v>1</v>
      </c>
      <c r="T46" s="3"/>
      <c r="V46" s="1"/>
    </row>
    <row r="47" spans="1:22" s="2" customFormat="1" ht="27.6" x14ac:dyDescent="0.3">
      <c r="A47" s="125">
        <f>COUNTA($B$10:B47)</f>
        <v>38</v>
      </c>
      <c r="B47" s="71" t="s">
        <v>26</v>
      </c>
      <c r="C47" s="72" t="s">
        <v>222</v>
      </c>
      <c r="D47" s="72"/>
      <c r="E47" s="71">
        <v>4</v>
      </c>
      <c r="F47" s="71"/>
      <c r="G47" s="71"/>
      <c r="H47" s="71"/>
      <c r="I47" s="71"/>
      <c r="J47" s="71" t="s">
        <v>120</v>
      </c>
      <c r="K47" s="73" t="s">
        <v>218</v>
      </c>
      <c r="L47" s="72" t="s">
        <v>218</v>
      </c>
      <c r="M47" s="236" t="s">
        <v>181</v>
      </c>
      <c r="N47" s="74"/>
      <c r="O47" s="141"/>
      <c r="P47" s="126">
        <v>200113301</v>
      </c>
      <c r="Q47" s="127" t="s">
        <v>219</v>
      </c>
      <c r="R47" s="128">
        <v>1</v>
      </c>
      <c r="S47" s="193">
        <v>1</v>
      </c>
      <c r="T47" s="3"/>
      <c r="V47" s="1"/>
    </row>
    <row r="48" spans="1:22" s="2" customFormat="1" ht="27.6" x14ac:dyDescent="0.3">
      <c r="A48" s="152">
        <f>COUNTA($B$10:B48)</f>
        <v>39</v>
      </c>
      <c r="B48" s="75" t="s">
        <v>20</v>
      </c>
      <c r="C48" s="76" t="s">
        <v>223</v>
      </c>
      <c r="D48" s="76" t="s">
        <v>224</v>
      </c>
      <c r="E48" s="75">
        <v>3</v>
      </c>
      <c r="F48" s="75">
        <v>30</v>
      </c>
      <c r="G48" s="75">
        <v>30</v>
      </c>
      <c r="H48" s="75">
        <v>0</v>
      </c>
      <c r="I48" s="75">
        <v>0</v>
      </c>
      <c r="J48" s="75" t="s">
        <v>120</v>
      </c>
      <c r="K48" s="77" t="s">
        <v>121</v>
      </c>
      <c r="L48" s="76" t="s">
        <v>121</v>
      </c>
      <c r="M48" s="237" t="s">
        <v>225</v>
      </c>
      <c r="N48" s="78"/>
      <c r="O48" s="142"/>
      <c r="P48" s="129" t="s">
        <v>226</v>
      </c>
      <c r="Q48" s="130" t="s">
        <v>227</v>
      </c>
      <c r="R48" s="157">
        <v>1</v>
      </c>
      <c r="S48" s="194">
        <v>1</v>
      </c>
      <c r="T48" s="3"/>
      <c r="U48" s="2">
        <f>_xlfn.XLOOKUP(B48,'Ke hoach giảng dạy CNTT'!D:D,'Ke hoach giảng dạy CNTT'!B:B)</f>
        <v>1</v>
      </c>
      <c r="V48" s="1">
        <f>_xlfn.XLOOKUP(B48,'Ke hoach giảng dạy CNTT'!D:D,'Ke hoach giảng dạy CNTT'!C:C)</f>
        <v>1</v>
      </c>
    </row>
    <row r="49" spans="1:24" s="2" customFormat="1" ht="27.6" x14ac:dyDescent="0.3">
      <c r="A49" s="152">
        <f>COUNTA($B$10:B49)</f>
        <v>40</v>
      </c>
      <c r="B49" s="75" t="s">
        <v>21</v>
      </c>
      <c r="C49" s="76" t="s">
        <v>228</v>
      </c>
      <c r="D49" s="76" t="s">
        <v>229</v>
      </c>
      <c r="E49" s="75">
        <v>3</v>
      </c>
      <c r="F49" s="75">
        <v>30</v>
      </c>
      <c r="G49" s="75">
        <v>30</v>
      </c>
      <c r="H49" s="75">
        <v>0</v>
      </c>
      <c r="I49" s="75">
        <v>0</v>
      </c>
      <c r="J49" s="75" t="s">
        <v>120</v>
      </c>
      <c r="K49" s="77" t="s">
        <v>121</v>
      </c>
      <c r="L49" s="76" t="s">
        <v>121</v>
      </c>
      <c r="M49" s="237" t="s">
        <v>225</v>
      </c>
      <c r="N49" s="78"/>
      <c r="O49" s="142"/>
      <c r="P49" s="129" t="s">
        <v>226</v>
      </c>
      <c r="Q49" s="130" t="s">
        <v>227</v>
      </c>
      <c r="R49" s="157">
        <v>1</v>
      </c>
      <c r="S49" s="194">
        <v>1</v>
      </c>
      <c r="T49" s="3"/>
      <c r="U49" s="2">
        <f>_xlfn.XLOOKUP(B49,'Ke hoach giảng dạy CNTT'!D:D,'Ke hoach giảng dạy CNTT'!B:B)</f>
        <v>1</v>
      </c>
      <c r="V49" s="1">
        <f>_xlfn.XLOOKUP(B49,'Ke hoach giảng dạy CNTT'!D:D,'Ke hoach giảng dạy CNTT'!C:C)</f>
        <v>1</v>
      </c>
    </row>
    <row r="50" spans="1:24" s="2" customFormat="1" ht="27.6" x14ac:dyDescent="0.3">
      <c r="A50" s="152">
        <f>COUNTA($B$10:B50)</f>
        <v>41</v>
      </c>
      <c r="B50" s="75" t="s">
        <v>36</v>
      </c>
      <c r="C50" s="76" t="s">
        <v>230</v>
      </c>
      <c r="D50" s="76" t="s">
        <v>231</v>
      </c>
      <c r="E50" s="75">
        <v>3</v>
      </c>
      <c r="F50" s="75">
        <v>30</v>
      </c>
      <c r="G50" s="75">
        <v>30</v>
      </c>
      <c r="H50" s="75">
        <v>0</v>
      </c>
      <c r="I50" s="75">
        <v>0</v>
      </c>
      <c r="J50" s="75" t="s">
        <v>120</v>
      </c>
      <c r="K50" s="77" t="s">
        <v>121</v>
      </c>
      <c r="L50" s="76" t="s">
        <v>121</v>
      </c>
      <c r="M50" s="237" t="s">
        <v>225</v>
      </c>
      <c r="N50" s="78"/>
      <c r="O50" s="142"/>
      <c r="P50" s="129" t="s">
        <v>226</v>
      </c>
      <c r="Q50" s="130" t="s">
        <v>227</v>
      </c>
      <c r="R50" s="157">
        <v>3</v>
      </c>
      <c r="S50" s="194">
        <v>1</v>
      </c>
      <c r="U50" s="2">
        <f>_xlfn.XLOOKUP(B50,'Ke hoach giảng dạy CNTT'!D:D,'Ke hoach giảng dạy CNTT'!B:B)</f>
        <v>3</v>
      </c>
      <c r="V50" s="1">
        <f>_xlfn.XLOOKUP(B50,'Ke hoach giảng dạy CNTT'!D:D,'Ke hoach giảng dạy CNTT'!C:C)</f>
        <v>1</v>
      </c>
      <c r="W50" s="3"/>
      <c r="X50" s="3"/>
    </row>
    <row r="51" spans="1:24" s="2" customFormat="1" ht="41.4" x14ac:dyDescent="0.3">
      <c r="A51" s="152">
        <f>COUNTA($B$10:B51)</f>
        <v>42</v>
      </c>
      <c r="B51" s="75" t="s">
        <v>31</v>
      </c>
      <c r="C51" s="76" t="s">
        <v>232</v>
      </c>
      <c r="D51" s="76" t="s">
        <v>233</v>
      </c>
      <c r="E51" s="75">
        <v>3</v>
      </c>
      <c r="F51" s="75">
        <v>30</v>
      </c>
      <c r="G51" s="75">
        <v>30</v>
      </c>
      <c r="H51" s="75">
        <v>0</v>
      </c>
      <c r="I51" s="75">
        <v>0</v>
      </c>
      <c r="J51" s="75" t="s">
        <v>120</v>
      </c>
      <c r="K51" s="77" t="s">
        <v>121</v>
      </c>
      <c r="L51" s="76" t="s">
        <v>121</v>
      </c>
      <c r="M51" s="237" t="s">
        <v>225</v>
      </c>
      <c r="N51" s="78"/>
      <c r="O51" s="142"/>
      <c r="P51" s="129" t="s">
        <v>234</v>
      </c>
      <c r="Q51" s="130" t="s">
        <v>235</v>
      </c>
      <c r="R51" s="157">
        <v>2</v>
      </c>
      <c r="S51" s="194">
        <v>1</v>
      </c>
      <c r="U51" s="2">
        <f>_xlfn.XLOOKUP(B51,'Ke hoach giảng dạy CNTT'!D:D,'Ke hoach giảng dạy CNTT'!B:B)</f>
        <v>2</v>
      </c>
      <c r="V51" s="1">
        <f>_xlfn.XLOOKUP(B51,'Ke hoach giảng dạy CNTT'!D:D,'Ke hoach giảng dạy CNTT'!C:C)</f>
        <v>1</v>
      </c>
      <c r="W51" s="3"/>
      <c r="X51" s="3"/>
    </row>
    <row r="52" spans="1:24" s="2" customFormat="1" ht="27.6" x14ac:dyDescent="0.3">
      <c r="A52" s="152">
        <f>COUNTA($B$10:B52)</f>
        <v>43</v>
      </c>
      <c r="B52" s="75" t="s">
        <v>37</v>
      </c>
      <c r="C52" s="76" t="s">
        <v>236</v>
      </c>
      <c r="D52" s="76" t="s">
        <v>237</v>
      </c>
      <c r="E52" s="75">
        <v>3</v>
      </c>
      <c r="F52" s="75">
        <v>30</v>
      </c>
      <c r="G52" s="75">
        <v>30</v>
      </c>
      <c r="H52" s="75">
        <v>0</v>
      </c>
      <c r="I52" s="75">
        <v>0</v>
      </c>
      <c r="J52" s="75" t="s">
        <v>120</v>
      </c>
      <c r="K52" s="77" t="s">
        <v>121</v>
      </c>
      <c r="L52" s="76" t="s">
        <v>238</v>
      </c>
      <c r="M52" s="237" t="s">
        <v>225</v>
      </c>
      <c r="N52" s="78"/>
      <c r="O52" s="142"/>
      <c r="P52" s="129" t="s">
        <v>129</v>
      </c>
      <c r="Q52" s="130" t="s">
        <v>130</v>
      </c>
      <c r="R52" s="157">
        <v>3</v>
      </c>
      <c r="S52" s="194">
        <v>1</v>
      </c>
      <c r="U52" s="2">
        <f>_xlfn.XLOOKUP(B52,'Ke hoach giảng dạy CNTT'!D:D,'Ke hoach giảng dạy CNTT'!B:B)</f>
        <v>3</v>
      </c>
      <c r="V52" s="1">
        <f>_xlfn.XLOOKUP(B52,'Ke hoach giảng dạy CNTT'!D:D,'Ke hoach giảng dạy CNTT'!C:C)</f>
        <v>1</v>
      </c>
      <c r="W52" s="3"/>
      <c r="X52" s="3"/>
    </row>
    <row r="53" spans="1:24" s="2" customFormat="1" ht="27.6" x14ac:dyDescent="0.3">
      <c r="A53" s="152">
        <f>COUNTA($B$10:B53)</f>
        <v>44</v>
      </c>
      <c r="B53" s="75" t="s">
        <v>607</v>
      </c>
      <c r="C53" s="76" t="s">
        <v>239</v>
      </c>
      <c r="D53" s="76" t="s">
        <v>240</v>
      </c>
      <c r="E53" s="75">
        <v>4</v>
      </c>
      <c r="F53" s="75">
        <v>45</v>
      </c>
      <c r="G53" s="75">
        <v>30</v>
      </c>
      <c r="H53" s="75">
        <v>0</v>
      </c>
      <c r="I53" s="75">
        <v>0</v>
      </c>
      <c r="J53" s="75" t="s">
        <v>120</v>
      </c>
      <c r="K53" s="77" t="s">
        <v>121</v>
      </c>
      <c r="L53" s="76" t="s">
        <v>241</v>
      </c>
      <c r="M53" s="237" t="s">
        <v>225</v>
      </c>
      <c r="N53" s="78"/>
      <c r="O53" s="142" t="s">
        <v>242</v>
      </c>
      <c r="P53" s="129" t="s">
        <v>129</v>
      </c>
      <c r="Q53" s="130" t="s">
        <v>130</v>
      </c>
      <c r="R53" s="157">
        <v>1</v>
      </c>
      <c r="S53" s="194">
        <v>2</v>
      </c>
      <c r="T53" s="3"/>
      <c r="U53" s="2">
        <f>_xlfn.XLOOKUP(B53,'Ke hoach giảng dạy CNTT'!D:D,'Ke hoach giảng dạy CNTT'!B:B)</f>
        <v>1</v>
      </c>
      <c r="V53" s="1">
        <f>_xlfn.XLOOKUP(B53,'Ke hoach giảng dạy CNTT'!D:D,'Ke hoach giảng dạy CNTT'!C:C)</f>
        <v>2</v>
      </c>
    </row>
    <row r="54" spans="1:24" s="2" customFormat="1" ht="27.6" x14ac:dyDescent="0.3">
      <c r="A54" s="152">
        <f>COUNTA($B$10:B54)</f>
        <v>45</v>
      </c>
      <c r="B54" s="75" t="s">
        <v>32</v>
      </c>
      <c r="C54" s="76" t="s">
        <v>243</v>
      </c>
      <c r="D54" s="76" t="s">
        <v>244</v>
      </c>
      <c r="E54" s="75">
        <v>3</v>
      </c>
      <c r="F54" s="75">
        <v>30</v>
      </c>
      <c r="G54" s="75">
        <v>30</v>
      </c>
      <c r="H54" s="75">
        <v>0</v>
      </c>
      <c r="I54" s="75">
        <v>0</v>
      </c>
      <c r="J54" s="75" t="s">
        <v>120</v>
      </c>
      <c r="K54" s="77" t="s">
        <v>121</v>
      </c>
      <c r="L54" s="76" t="s">
        <v>238</v>
      </c>
      <c r="M54" s="237" t="s">
        <v>225</v>
      </c>
      <c r="N54" s="78"/>
      <c r="O54" s="142"/>
      <c r="P54" s="129" t="s">
        <v>245</v>
      </c>
      <c r="Q54" s="130" t="s">
        <v>246</v>
      </c>
      <c r="R54" s="157">
        <v>2</v>
      </c>
      <c r="S54" s="194">
        <v>1</v>
      </c>
      <c r="U54" s="2">
        <f>_xlfn.XLOOKUP(B54,'Ke hoach giảng dạy CNTT'!D:D,'Ke hoach giảng dạy CNTT'!B:B)</f>
        <v>2</v>
      </c>
      <c r="V54" s="1">
        <f>_xlfn.XLOOKUP(B54,'Ke hoach giảng dạy CNTT'!D:D,'Ke hoach giảng dạy CNTT'!C:C)</f>
        <v>1</v>
      </c>
      <c r="W54" s="3"/>
      <c r="X54" s="3"/>
    </row>
    <row r="55" spans="1:24" ht="27.6" x14ac:dyDescent="0.3">
      <c r="A55" s="153">
        <f>COUNTA($B$10:B55)</f>
        <v>46</v>
      </c>
      <c r="B55" s="79" t="s">
        <v>41</v>
      </c>
      <c r="C55" s="80" t="s">
        <v>247</v>
      </c>
      <c r="D55" s="80" t="s">
        <v>248</v>
      </c>
      <c r="E55" s="79">
        <v>3</v>
      </c>
      <c r="F55" s="79">
        <v>30</v>
      </c>
      <c r="G55" s="79">
        <v>30</v>
      </c>
      <c r="H55" s="79">
        <v>0</v>
      </c>
      <c r="I55" s="79">
        <v>0</v>
      </c>
      <c r="J55" s="79" t="s">
        <v>120</v>
      </c>
      <c r="K55" s="81" t="s">
        <v>121</v>
      </c>
      <c r="L55" s="148" t="s">
        <v>238</v>
      </c>
      <c r="M55" s="148" t="s">
        <v>249</v>
      </c>
      <c r="N55" s="131"/>
      <c r="O55" s="143"/>
      <c r="P55" s="132" t="s">
        <v>245</v>
      </c>
      <c r="Q55" s="133" t="s">
        <v>246</v>
      </c>
      <c r="R55" s="158">
        <v>1</v>
      </c>
      <c r="S55" s="195">
        <v>2</v>
      </c>
      <c r="U55" s="2">
        <f>_xlfn.XLOOKUP(B55,'Ke hoach giảng dạy CNTT'!D:D,'Ke hoach giảng dạy CNTT'!B:B)</f>
        <v>1</v>
      </c>
      <c r="V55" s="1">
        <f>_xlfn.XLOOKUP(B55,'Ke hoach giảng dạy CNTT'!D:D,'Ke hoach giảng dạy CNTT'!C:C)</f>
        <v>2</v>
      </c>
    </row>
    <row r="56" spans="1:24" s="2" customFormat="1" ht="27.6" x14ac:dyDescent="0.3">
      <c r="A56" s="153">
        <f>COUNTA($B$10:B56)</f>
        <v>47</v>
      </c>
      <c r="B56" s="79" t="s">
        <v>46</v>
      </c>
      <c r="C56" s="80" t="s">
        <v>250</v>
      </c>
      <c r="D56" s="80" t="s">
        <v>251</v>
      </c>
      <c r="E56" s="79">
        <v>3</v>
      </c>
      <c r="F56" s="79">
        <v>30</v>
      </c>
      <c r="G56" s="79">
        <v>30</v>
      </c>
      <c r="H56" s="79">
        <v>0</v>
      </c>
      <c r="I56" s="79">
        <v>0</v>
      </c>
      <c r="J56" s="79" t="s">
        <v>120</v>
      </c>
      <c r="K56" s="81" t="s">
        <v>121</v>
      </c>
      <c r="L56" s="148" t="s">
        <v>610</v>
      </c>
      <c r="M56" s="148" t="s">
        <v>249</v>
      </c>
      <c r="N56" s="131"/>
      <c r="O56" s="143"/>
      <c r="P56" s="132" t="s">
        <v>245</v>
      </c>
      <c r="Q56" s="133" t="s">
        <v>246</v>
      </c>
      <c r="R56" s="158">
        <v>2</v>
      </c>
      <c r="S56" s="195">
        <v>2</v>
      </c>
      <c r="U56" s="2">
        <f>_xlfn.XLOOKUP(B56,'Ke hoach giảng dạy CNTT'!D:D,'Ke hoach giảng dạy CNTT'!B:B)</f>
        <v>2</v>
      </c>
      <c r="V56" s="1">
        <f>_xlfn.XLOOKUP(B56,'Ke hoach giảng dạy CNTT'!D:D,'Ke hoach giảng dạy CNTT'!C:C)</f>
        <v>2</v>
      </c>
      <c r="W56" s="3"/>
      <c r="X56" s="3"/>
    </row>
    <row r="57" spans="1:24" s="2" customFormat="1" ht="27.6" x14ac:dyDescent="0.3">
      <c r="A57" s="153">
        <f>COUNTA($B$10:B57)</f>
        <v>48</v>
      </c>
      <c r="B57" s="79" t="s">
        <v>42</v>
      </c>
      <c r="C57" s="80" t="s">
        <v>252</v>
      </c>
      <c r="D57" s="80" t="s">
        <v>253</v>
      </c>
      <c r="E57" s="79">
        <v>3</v>
      </c>
      <c r="F57" s="79">
        <v>30</v>
      </c>
      <c r="G57" s="79">
        <v>30</v>
      </c>
      <c r="H57" s="79">
        <v>0</v>
      </c>
      <c r="I57" s="79">
        <v>0</v>
      </c>
      <c r="J57" s="79" t="s">
        <v>120</v>
      </c>
      <c r="K57" s="81" t="s">
        <v>121</v>
      </c>
      <c r="L57" s="148" t="s">
        <v>238</v>
      </c>
      <c r="M57" s="148" t="s">
        <v>249</v>
      </c>
      <c r="N57" s="131"/>
      <c r="O57" s="143"/>
      <c r="P57" s="132" t="s">
        <v>245</v>
      </c>
      <c r="Q57" s="133" t="s">
        <v>246</v>
      </c>
      <c r="R57" s="158">
        <v>1</v>
      </c>
      <c r="S57" s="195">
        <v>2</v>
      </c>
      <c r="U57" s="2">
        <f>_xlfn.XLOOKUP(B57,'Ke hoach giảng dạy CNTT'!D:D,'Ke hoach giảng dạy CNTT'!B:B)</f>
        <v>1</v>
      </c>
      <c r="V57" s="1">
        <f>_xlfn.XLOOKUP(B57,'Ke hoach giảng dạy CNTT'!D:D,'Ke hoach giảng dạy CNTT'!C:C)</f>
        <v>2</v>
      </c>
      <c r="W57" s="3"/>
      <c r="X57" s="3"/>
    </row>
    <row r="58" spans="1:24" s="2" customFormat="1" ht="27.6" x14ac:dyDescent="0.3">
      <c r="A58" s="153">
        <f>COUNTA($B$10:B58)</f>
        <v>49</v>
      </c>
      <c r="B58" s="79" t="s">
        <v>56</v>
      </c>
      <c r="C58" s="80" t="s">
        <v>254</v>
      </c>
      <c r="D58" s="80" t="s">
        <v>255</v>
      </c>
      <c r="E58" s="79">
        <v>3</v>
      </c>
      <c r="F58" s="79">
        <v>30</v>
      </c>
      <c r="G58" s="79">
        <v>30</v>
      </c>
      <c r="H58" s="79">
        <v>0</v>
      </c>
      <c r="I58" s="79">
        <v>0</v>
      </c>
      <c r="J58" s="79" t="s">
        <v>120</v>
      </c>
      <c r="K58" s="79" t="s">
        <v>121</v>
      </c>
      <c r="L58" s="148" t="s">
        <v>238</v>
      </c>
      <c r="M58" s="148" t="s">
        <v>249</v>
      </c>
      <c r="N58" s="131"/>
      <c r="O58" s="143"/>
      <c r="P58" s="132" t="s">
        <v>129</v>
      </c>
      <c r="Q58" s="133" t="s">
        <v>130</v>
      </c>
      <c r="R58" s="158">
        <v>3</v>
      </c>
      <c r="S58" s="195">
        <v>2</v>
      </c>
      <c r="U58" s="2">
        <f>_xlfn.XLOOKUP(B58,'Ke hoach giảng dạy CNTT'!D:D,'Ke hoach giảng dạy CNTT'!B:B)</f>
        <v>3</v>
      </c>
      <c r="V58" s="1">
        <f>_xlfn.XLOOKUP(B58,'Ke hoach giảng dạy CNTT'!D:D,'Ke hoach giảng dạy CNTT'!C:C)</f>
        <v>2</v>
      </c>
      <c r="W58" s="3"/>
      <c r="X58" s="3"/>
    </row>
    <row r="59" spans="1:24" ht="27.6" x14ac:dyDescent="0.3">
      <c r="A59" s="153">
        <f>COUNTA($B$10:B59)</f>
        <v>50</v>
      </c>
      <c r="B59" s="79" t="s">
        <v>66</v>
      </c>
      <c r="C59" s="80" t="s">
        <v>256</v>
      </c>
      <c r="D59" s="80" t="s">
        <v>257</v>
      </c>
      <c r="E59" s="79">
        <v>3</v>
      </c>
      <c r="F59" s="79">
        <v>30</v>
      </c>
      <c r="G59" s="79">
        <v>30</v>
      </c>
      <c r="H59" s="79">
        <v>0</v>
      </c>
      <c r="I59" s="79">
        <v>0</v>
      </c>
      <c r="J59" s="79" t="s">
        <v>258</v>
      </c>
      <c r="K59" s="79" t="s">
        <v>121</v>
      </c>
      <c r="L59" s="148" t="s">
        <v>121</v>
      </c>
      <c r="M59" s="148" t="s">
        <v>249</v>
      </c>
      <c r="N59" s="131"/>
      <c r="O59" s="210" t="s">
        <v>259</v>
      </c>
      <c r="P59" s="132" t="s">
        <v>129</v>
      </c>
      <c r="Q59" s="133" t="s">
        <v>130</v>
      </c>
      <c r="R59" s="158">
        <v>3</v>
      </c>
      <c r="S59" s="195">
        <v>2</v>
      </c>
      <c r="T59" s="2"/>
      <c r="U59" s="2">
        <f>_xlfn.XLOOKUP(B59,'Ke hoach giảng dạy CNTT'!D:D,'Ke hoach giảng dạy CNTT'!B:B)</f>
        <v>3</v>
      </c>
      <c r="V59" s="1">
        <f>_xlfn.XLOOKUP(B59,'Ke hoach giảng dạy CNTT'!D:D,'Ke hoach giảng dạy CNTT'!C:C)</f>
        <v>2</v>
      </c>
    </row>
    <row r="60" spans="1:24" s="2" customFormat="1" ht="27.6" x14ac:dyDescent="0.3">
      <c r="A60" s="153">
        <f>COUNTA($B$10:B60)</f>
        <v>51</v>
      </c>
      <c r="B60" s="79" t="s">
        <v>50</v>
      </c>
      <c r="C60" s="80" t="s">
        <v>260</v>
      </c>
      <c r="D60" s="80" t="s">
        <v>261</v>
      </c>
      <c r="E60" s="79">
        <v>3</v>
      </c>
      <c r="F60" s="79">
        <v>30</v>
      </c>
      <c r="G60" s="79">
        <v>30</v>
      </c>
      <c r="H60" s="79">
        <v>0</v>
      </c>
      <c r="I60" s="79">
        <v>0</v>
      </c>
      <c r="J60" s="79" t="s">
        <v>258</v>
      </c>
      <c r="K60" s="81" t="s">
        <v>121</v>
      </c>
      <c r="L60" s="80" t="s">
        <v>611</v>
      </c>
      <c r="M60" s="148" t="s">
        <v>249</v>
      </c>
      <c r="N60" s="80"/>
      <c r="O60" s="144" t="s">
        <v>259</v>
      </c>
      <c r="P60" s="132" t="s">
        <v>129</v>
      </c>
      <c r="Q60" s="133" t="s">
        <v>130</v>
      </c>
      <c r="R60" s="158">
        <v>2</v>
      </c>
      <c r="S60" s="195">
        <v>2</v>
      </c>
      <c r="U60" s="2">
        <f>_xlfn.XLOOKUP(B60,'Ke hoach giảng dạy CNTT'!D:D,'Ke hoach giảng dạy CNTT'!B:B)</f>
        <v>2</v>
      </c>
      <c r="V60" s="1">
        <f>_xlfn.XLOOKUP(B60,'Ke hoach giảng dạy CNTT'!D:D,'Ke hoach giảng dạy CNTT'!C:C)</f>
        <v>2</v>
      </c>
      <c r="W60" s="3"/>
      <c r="X60" s="3"/>
    </row>
    <row r="61" spans="1:24" s="2" customFormat="1" ht="27.6" x14ac:dyDescent="0.3">
      <c r="A61" s="153">
        <f>COUNTA($B$10:B61)</f>
        <v>52</v>
      </c>
      <c r="B61" s="79" t="s">
        <v>53</v>
      </c>
      <c r="C61" s="80" t="s">
        <v>262</v>
      </c>
      <c r="D61" s="80" t="s">
        <v>263</v>
      </c>
      <c r="E61" s="79">
        <v>3</v>
      </c>
      <c r="F61" s="79">
        <v>30</v>
      </c>
      <c r="G61" s="79">
        <v>30</v>
      </c>
      <c r="H61" s="79">
        <v>0</v>
      </c>
      <c r="I61" s="79">
        <v>0</v>
      </c>
      <c r="J61" s="79" t="s">
        <v>258</v>
      </c>
      <c r="K61" s="79" t="s">
        <v>121</v>
      </c>
      <c r="L61" s="148" t="s">
        <v>121</v>
      </c>
      <c r="M61" s="148" t="s">
        <v>249</v>
      </c>
      <c r="N61" s="131"/>
      <c r="O61" s="210" t="s">
        <v>264</v>
      </c>
      <c r="P61" s="132" t="s">
        <v>245</v>
      </c>
      <c r="Q61" s="133" t="s">
        <v>246</v>
      </c>
      <c r="R61" s="158">
        <v>2</v>
      </c>
      <c r="S61" s="195">
        <v>2</v>
      </c>
      <c r="U61" s="2">
        <f>_xlfn.XLOOKUP(B61,'Ke hoach giảng dạy CNTT'!D:D,'Ke hoach giảng dạy CNTT'!B:B)</f>
        <v>2</v>
      </c>
      <c r="V61" s="1">
        <f>_xlfn.XLOOKUP(B61,'Ke hoach giảng dạy CNTT'!D:D,'Ke hoach giảng dạy CNTT'!C:C)</f>
        <v>2</v>
      </c>
      <c r="W61" s="3"/>
      <c r="X61" s="3"/>
    </row>
    <row r="62" spans="1:24" s="2" customFormat="1" ht="41.4" x14ac:dyDescent="0.3">
      <c r="A62" s="153">
        <f>COUNTA($B$10:B62)</f>
        <v>53</v>
      </c>
      <c r="B62" s="79" t="s">
        <v>64</v>
      </c>
      <c r="C62" s="80" t="s">
        <v>265</v>
      </c>
      <c r="D62" s="80" t="s">
        <v>266</v>
      </c>
      <c r="E62" s="79">
        <v>3</v>
      </c>
      <c r="F62" s="79">
        <v>30</v>
      </c>
      <c r="G62" s="79">
        <v>30</v>
      </c>
      <c r="H62" s="79">
        <v>0</v>
      </c>
      <c r="I62" s="79">
        <v>0</v>
      </c>
      <c r="J62" s="79" t="s">
        <v>258</v>
      </c>
      <c r="K62" s="81" t="s">
        <v>121</v>
      </c>
      <c r="L62" s="80" t="s">
        <v>121</v>
      </c>
      <c r="M62" s="148" t="s">
        <v>249</v>
      </c>
      <c r="N62" s="80"/>
      <c r="O62" s="144" t="s">
        <v>267</v>
      </c>
      <c r="P62" s="132" t="s">
        <v>234</v>
      </c>
      <c r="Q62" s="133" t="s">
        <v>235</v>
      </c>
      <c r="R62" s="158">
        <v>3</v>
      </c>
      <c r="S62" s="195">
        <v>2</v>
      </c>
      <c r="U62" s="2">
        <f>_xlfn.XLOOKUP(B62,'Ke hoach giảng dạy CNTT'!D:D,'Ke hoach giảng dạy CNTT'!B:B)</f>
        <v>3</v>
      </c>
      <c r="V62" s="1">
        <f>_xlfn.XLOOKUP(B62,'Ke hoach giảng dạy CNTT'!D:D,'Ke hoach giảng dạy CNTT'!C:C)</f>
        <v>2</v>
      </c>
      <c r="W62" s="3"/>
      <c r="X62" s="3"/>
    </row>
    <row r="63" spans="1:24" s="2" customFormat="1" ht="27.6" x14ac:dyDescent="0.3">
      <c r="A63" s="153">
        <f>COUNTA($B$10:B63)</f>
        <v>54</v>
      </c>
      <c r="B63" s="79" t="s">
        <v>48</v>
      </c>
      <c r="C63" s="80" t="s">
        <v>268</v>
      </c>
      <c r="D63" s="80" t="s">
        <v>269</v>
      </c>
      <c r="E63" s="79">
        <v>3</v>
      </c>
      <c r="F63" s="79">
        <v>30</v>
      </c>
      <c r="G63" s="79">
        <v>30</v>
      </c>
      <c r="H63" s="79">
        <v>0</v>
      </c>
      <c r="I63" s="79">
        <v>0</v>
      </c>
      <c r="J63" s="79" t="s">
        <v>258</v>
      </c>
      <c r="K63" s="79" t="s">
        <v>121</v>
      </c>
      <c r="L63" s="148" t="s">
        <v>610</v>
      </c>
      <c r="M63" s="148" t="s">
        <v>249</v>
      </c>
      <c r="N63" s="131"/>
      <c r="O63" s="210" t="s">
        <v>267</v>
      </c>
      <c r="P63" s="132" t="s">
        <v>226</v>
      </c>
      <c r="Q63" s="133" t="s">
        <v>227</v>
      </c>
      <c r="R63" s="158">
        <v>2</v>
      </c>
      <c r="S63" s="195">
        <v>2</v>
      </c>
      <c r="U63" s="2">
        <f>_xlfn.XLOOKUP(B63,'Ke hoach giảng dạy CNTT'!D:D,'Ke hoach giảng dạy CNTT'!B:B)</f>
        <v>2</v>
      </c>
      <c r="V63" s="1">
        <f>_xlfn.XLOOKUP(B63,'Ke hoach giảng dạy CNTT'!D:D,'Ke hoach giảng dạy CNTT'!C:C)</f>
        <v>2</v>
      </c>
      <c r="W63" s="3"/>
      <c r="X63" s="3"/>
    </row>
    <row r="64" spans="1:24" ht="41.4" x14ac:dyDescent="0.3">
      <c r="A64" s="153">
        <f>COUNTA($B$10:B64)</f>
        <v>55</v>
      </c>
      <c r="B64" s="79" t="s">
        <v>49</v>
      </c>
      <c r="C64" s="80" t="s">
        <v>270</v>
      </c>
      <c r="D64" s="80" t="s">
        <v>271</v>
      </c>
      <c r="E64" s="79">
        <v>3</v>
      </c>
      <c r="F64" s="79">
        <v>30</v>
      </c>
      <c r="G64" s="79">
        <v>30</v>
      </c>
      <c r="H64" s="79">
        <v>0</v>
      </c>
      <c r="I64" s="79">
        <v>0</v>
      </c>
      <c r="J64" s="79" t="s">
        <v>258</v>
      </c>
      <c r="K64" s="81" t="s">
        <v>121</v>
      </c>
      <c r="L64" s="80" t="s">
        <v>121</v>
      </c>
      <c r="M64" s="148" t="s">
        <v>249</v>
      </c>
      <c r="N64" s="80"/>
      <c r="O64" s="144" t="s">
        <v>272</v>
      </c>
      <c r="P64" s="132" t="s">
        <v>234</v>
      </c>
      <c r="Q64" s="133" t="s">
        <v>235</v>
      </c>
      <c r="R64" s="158">
        <v>2</v>
      </c>
      <c r="S64" s="195">
        <v>2</v>
      </c>
      <c r="U64" s="2">
        <f>_xlfn.XLOOKUP(B64,'Ke hoach giảng dạy CNTT'!D:D,'Ke hoach giảng dạy CNTT'!B:B)</f>
        <v>2</v>
      </c>
      <c r="V64" s="1">
        <f>_xlfn.XLOOKUP(B64,'Ke hoach giảng dạy CNTT'!D:D,'Ke hoach giảng dạy CNTT'!C:C)</f>
        <v>2</v>
      </c>
    </row>
    <row r="65" spans="1:22" ht="27.6" x14ac:dyDescent="0.3">
      <c r="A65" s="153">
        <f>COUNTA($B$10:B65)</f>
        <v>56</v>
      </c>
      <c r="B65" s="79" t="s">
        <v>51</v>
      </c>
      <c r="C65" s="80" t="s">
        <v>273</v>
      </c>
      <c r="D65" s="80" t="s">
        <v>274</v>
      </c>
      <c r="E65" s="79">
        <v>3</v>
      </c>
      <c r="F65" s="79">
        <v>30</v>
      </c>
      <c r="G65" s="79">
        <v>30</v>
      </c>
      <c r="H65" s="79">
        <v>0</v>
      </c>
      <c r="I65" s="79">
        <v>0</v>
      </c>
      <c r="J65" s="79" t="s">
        <v>258</v>
      </c>
      <c r="K65" s="81" t="s">
        <v>121</v>
      </c>
      <c r="L65" s="80" t="s">
        <v>610</v>
      </c>
      <c r="M65" s="148" t="s">
        <v>249</v>
      </c>
      <c r="N65" s="80"/>
      <c r="O65" s="144" t="s">
        <v>275</v>
      </c>
      <c r="P65" s="132" t="s">
        <v>226</v>
      </c>
      <c r="Q65" s="133" t="s">
        <v>227</v>
      </c>
      <c r="R65" s="158">
        <v>2</v>
      </c>
      <c r="S65" s="195">
        <v>2</v>
      </c>
      <c r="U65" s="2">
        <f>_xlfn.XLOOKUP(B65,'Ke hoach giảng dạy CNTT'!D:D,'Ke hoach giảng dạy CNTT'!B:B)</f>
        <v>2</v>
      </c>
      <c r="V65" s="1">
        <f>_xlfn.XLOOKUP(B65,'Ke hoach giảng dạy CNTT'!D:D,'Ke hoach giảng dạy CNTT'!C:C)</f>
        <v>2</v>
      </c>
    </row>
    <row r="66" spans="1:22" ht="39.6" x14ac:dyDescent="0.3">
      <c r="A66" s="153">
        <f>COUNTA($B$10:B66)</f>
        <v>57</v>
      </c>
      <c r="B66" s="79" t="s">
        <v>65</v>
      </c>
      <c r="C66" s="80" t="s">
        <v>276</v>
      </c>
      <c r="D66" s="80" t="s">
        <v>277</v>
      </c>
      <c r="E66" s="79">
        <v>3</v>
      </c>
      <c r="F66" s="79">
        <v>30</v>
      </c>
      <c r="G66" s="79">
        <v>30</v>
      </c>
      <c r="H66" s="79">
        <v>0</v>
      </c>
      <c r="I66" s="79">
        <v>0</v>
      </c>
      <c r="J66" s="79" t="s">
        <v>258</v>
      </c>
      <c r="K66" s="81" t="s">
        <v>121</v>
      </c>
      <c r="L66" s="80" t="s">
        <v>121</v>
      </c>
      <c r="M66" s="148" t="s">
        <v>249</v>
      </c>
      <c r="N66" s="80"/>
      <c r="O66" s="144" t="s">
        <v>278</v>
      </c>
      <c r="P66" s="132" t="s">
        <v>245</v>
      </c>
      <c r="Q66" s="133" t="s">
        <v>246</v>
      </c>
      <c r="R66" s="158">
        <v>3</v>
      </c>
      <c r="S66" s="195">
        <v>2</v>
      </c>
      <c r="U66" s="2">
        <f>_xlfn.XLOOKUP(B66,'Ke hoach giảng dạy CNTT'!D:D,'Ke hoach giảng dạy CNTT'!B:B)</f>
        <v>3</v>
      </c>
      <c r="V66" s="1">
        <f>_xlfn.XLOOKUP(B66,'Ke hoach giảng dạy CNTT'!D:D,'Ke hoach giảng dạy CNTT'!C:C)</f>
        <v>2</v>
      </c>
    </row>
    <row r="67" spans="1:22" ht="27.6" x14ac:dyDescent="0.3">
      <c r="A67" s="154">
        <f>COUNTA($B$10:B67)</f>
        <v>58</v>
      </c>
      <c r="B67" s="82" t="s">
        <v>58</v>
      </c>
      <c r="C67" s="83" t="s">
        <v>279</v>
      </c>
      <c r="D67" s="83" t="s">
        <v>280</v>
      </c>
      <c r="E67" s="82">
        <v>3</v>
      </c>
      <c r="F67" s="82">
        <v>30</v>
      </c>
      <c r="G67" s="82">
        <v>30</v>
      </c>
      <c r="H67" s="82">
        <v>0</v>
      </c>
      <c r="I67" s="82">
        <v>0</v>
      </c>
      <c r="J67" s="82" t="s">
        <v>120</v>
      </c>
      <c r="K67" s="84" t="s">
        <v>121</v>
      </c>
      <c r="L67" s="83" t="s">
        <v>610</v>
      </c>
      <c r="M67" s="149" t="s">
        <v>281</v>
      </c>
      <c r="N67" s="83" t="s">
        <v>282</v>
      </c>
      <c r="O67" s="145"/>
      <c r="P67" s="134" t="s">
        <v>245</v>
      </c>
      <c r="Q67" s="135" t="s">
        <v>246</v>
      </c>
      <c r="R67" s="159">
        <v>3</v>
      </c>
      <c r="S67" s="196">
        <v>2</v>
      </c>
      <c r="U67" s="2">
        <f>_xlfn.XLOOKUP(B67,'Ke hoach giảng dạy CNTT'!D:D,'Ke hoach giảng dạy CNTT'!B:B)</f>
        <v>3</v>
      </c>
      <c r="V67" s="1">
        <f>_xlfn.XLOOKUP(B67,'Ke hoach giảng dạy CNTT'!D:D,'Ke hoach giảng dạy CNTT'!C:C)</f>
        <v>2</v>
      </c>
    </row>
    <row r="68" spans="1:22" ht="27.6" x14ac:dyDescent="0.3">
      <c r="A68" s="154">
        <f>COUNTA($B$10:B68)</f>
        <v>59</v>
      </c>
      <c r="B68" s="82" t="s">
        <v>70</v>
      </c>
      <c r="C68" s="83" t="s">
        <v>283</v>
      </c>
      <c r="D68" s="83" t="s">
        <v>284</v>
      </c>
      <c r="E68" s="82">
        <v>3</v>
      </c>
      <c r="F68" s="82">
        <v>30</v>
      </c>
      <c r="G68" s="82">
        <v>30</v>
      </c>
      <c r="H68" s="82">
        <v>0</v>
      </c>
      <c r="I68" s="82">
        <v>0</v>
      </c>
      <c r="J68" s="82" t="s">
        <v>120</v>
      </c>
      <c r="K68" s="84" t="s">
        <v>121</v>
      </c>
      <c r="L68" s="83" t="s">
        <v>612</v>
      </c>
      <c r="M68" s="149" t="s">
        <v>281</v>
      </c>
      <c r="N68" s="83" t="s">
        <v>282</v>
      </c>
      <c r="O68" s="145"/>
      <c r="P68" s="134" t="s">
        <v>245</v>
      </c>
      <c r="Q68" s="135" t="s">
        <v>246</v>
      </c>
      <c r="R68" s="159">
        <v>1</v>
      </c>
      <c r="S68" s="196">
        <v>3</v>
      </c>
      <c r="U68" s="2">
        <f>_xlfn.XLOOKUP(B68,'Ke hoach giảng dạy CNTT'!D:D,'Ke hoach giảng dạy CNTT'!B:B)</f>
        <v>1</v>
      </c>
      <c r="V68" s="1">
        <f>_xlfn.XLOOKUP(B68,'Ke hoach giảng dạy CNTT'!D:D,'Ke hoach giảng dạy CNTT'!C:C)</f>
        <v>3</v>
      </c>
    </row>
    <row r="69" spans="1:22" ht="27.6" x14ac:dyDescent="0.3">
      <c r="A69" s="154">
        <f>COUNTA($B$10:B69)</f>
        <v>60</v>
      </c>
      <c r="B69" s="82" t="s">
        <v>71</v>
      </c>
      <c r="C69" s="83" t="s">
        <v>285</v>
      </c>
      <c r="D69" s="83" t="s">
        <v>286</v>
      </c>
      <c r="E69" s="82">
        <v>3</v>
      </c>
      <c r="F69" s="82">
        <v>30</v>
      </c>
      <c r="G69" s="82">
        <v>30</v>
      </c>
      <c r="H69" s="82">
        <v>0</v>
      </c>
      <c r="I69" s="82">
        <v>0</v>
      </c>
      <c r="J69" s="82" t="s">
        <v>120</v>
      </c>
      <c r="K69" s="84" t="s">
        <v>121</v>
      </c>
      <c r="L69" s="83" t="s">
        <v>612</v>
      </c>
      <c r="M69" s="149" t="s">
        <v>281</v>
      </c>
      <c r="N69" s="83" t="s">
        <v>282</v>
      </c>
      <c r="O69" s="145"/>
      <c r="P69" s="134" t="s">
        <v>245</v>
      </c>
      <c r="Q69" s="135" t="s">
        <v>246</v>
      </c>
      <c r="R69" s="159">
        <v>1</v>
      </c>
      <c r="S69" s="196">
        <v>3</v>
      </c>
      <c r="U69" s="2">
        <f>_xlfn.XLOOKUP(B69,'Ke hoach giảng dạy CNTT'!D:D,'Ke hoach giảng dạy CNTT'!B:B)</f>
        <v>1</v>
      </c>
      <c r="V69" s="1">
        <f>_xlfn.XLOOKUP(B69,'Ke hoach giảng dạy CNTT'!D:D,'Ke hoach giảng dạy CNTT'!C:C)</f>
        <v>3</v>
      </c>
    </row>
    <row r="70" spans="1:22" ht="32.4" customHeight="1" x14ac:dyDescent="0.3">
      <c r="A70" s="154">
        <f>COUNTA($B$10:B70)</f>
        <v>61</v>
      </c>
      <c r="B70" s="82" t="s">
        <v>82</v>
      </c>
      <c r="C70" s="83" t="s">
        <v>287</v>
      </c>
      <c r="D70" s="83" t="s">
        <v>288</v>
      </c>
      <c r="E70" s="82">
        <v>3</v>
      </c>
      <c r="F70" s="82">
        <v>30</v>
      </c>
      <c r="G70" s="82">
        <v>30</v>
      </c>
      <c r="H70" s="82">
        <v>0</v>
      </c>
      <c r="I70" s="82">
        <v>0</v>
      </c>
      <c r="J70" s="82" t="s">
        <v>120</v>
      </c>
      <c r="K70" s="84" t="s">
        <v>121</v>
      </c>
      <c r="L70" s="83" t="s">
        <v>289</v>
      </c>
      <c r="M70" s="149" t="s">
        <v>281</v>
      </c>
      <c r="N70" s="83" t="s">
        <v>282</v>
      </c>
      <c r="O70" s="145"/>
      <c r="P70" s="134" t="s">
        <v>245</v>
      </c>
      <c r="Q70" s="135" t="s">
        <v>246</v>
      </c>
      <c r="R70" s="159">
        <v>2</v>
      </c>
      <c r="S70" s="196">
        <v>3</v>
      </c>
      <c r="U70" s="2">
        <f>_xlfn.XLOOKUP(B70,'Ke hoach giảng dạy CNTT'!D:D,'Ke hoach giảng dạy CNTT'!B:B)</f>
        <v>2</v>
      </c>
      <c r="V70" s="1">
        <f>_xlfn.XLOOKUP(B70,'Ke hoach giảng dạy CNTT'!D:D,'Ke hoach giảng dạy CNTT'!C:C)</f>
        <v>3</v>
      </c>
    </row>
    <row r="71" spans="1:22" ht="27.6" x14ac:dyDescent="0.3">
      <c r="A71" s="154">
        <f>COUNTA($B$10:B71)</f>
        <v>62</v>
      </c>
      <c r="B71" s="82" t="s">
        <v>81</v>
      </c>
      <c r="C71" s="83" t="s">
        <v>290</v>
      </c>
      <c r="D71" s="83" t="s">
        <v>291</v>
      </c>
      <c r="E71" s="82">
        <v>3</v>
      </c>
      <c r="F71" s="82">
        <v>30</v>
      </c>
      <c r="G71" s="82">
        <v>30</v>
      </c>
      <c r="H71" s="82">
        <v>0</v>
      </c>
      <c r="I71" s="82">
        <v>0</v>
      </c>
      <c r="J71" s="82" t="s">
        <v>120</v>
      </c>
      <c r="K71" s="84" t="s">
        <v>121</v>
      </c>
      <c r="L71" s="83" t="s">
        <v>613</v>
      </c>
      <c r="M71" s="149" t="s">
        <v>281</v>
      </c>
      <c r="N71" s="83" t="s">
        <v>282</v>
      </c>
      <c r="O71" s="145"/>
      <c r="P71" s="134" t="s">
        <v>245</v>
      </c>
      <c r="Q71" s="135" t="s">
        <v>246</v>
      </c>
      <c r="R71" s="159">
        <v>2</v>
      </c>
      <c r="S71" s="196">
        <v>3</v>
      </c>
      <c r="U71" s="2">
        <f>_xlfn.XLOOKUP(B71,'Ke hoach giảng dạy CNTT'!D:D,'Ke hoach giảng dạy CNTT'!B:B)</f>
        <v>2</v>
      </c>
      <c r="V71" s="1">
        <f>_xlfn.XLOOKUP(B71,'Ke hoach giảng dạy CNTT'!D:D,'Ke hoach giảng dạy CNTT'!C:C)</f>
        <v>3</v>
      </c>
    </row>
    <row r="72" spans="1:22" ht="27.6" x14ac:dyDescent="0.3">
      <c r="A72" s="154">
        <f>COUNTA($B$10:B72)</f>
        <v>63</v>
      </c>
      <c r="B72" s="82" t="s">
        <v>83</v>
      </c>
      <c r="C72" s="83" t="s">
        <v>292</v>
      </c>
      <c r="D72" s="83" t="s">
        <v>293</v>
      </c>
      <c r="E72" s="82">
        <v>3</v>
      </c>
      <c r="F72" s="82">
        <v>30</v>
      </c>
      <c r="G72" s="82">
        <v>30</v>
      </c>
      <c r="H72" s="82">
        <v>0</v>
      </c>
      <c r="I72" s="82">
        <v>0</v>
      </c>
      <c r="J72" s="82" t="s">
        <v>120</v>
      </c>
      <c r="K72" s="84" t="s">
        <v>121</v>
      </c>
      <c r="L72" s="83" t="s">
        <v>289</v>
      </c>
      <c r="M72" s="149" t="s">
        <v>281</v>
      </c>
      <c r="N72" s="83" t="s">
        <v>282</v>
      </c>
      <c r="O72" s="145"/>
      <c r="P72" s="134" t="s">
        <v>245</v>
      </c>
      <c r="Q72" s="135" t="s">
        <v>246</v>
      </c>
      <c r="R72" s="159">
        <v>2</v>
      </c>
      <c r="S72" s="196">
        <v>3</v>
      </c>
      <c r="U72" s="2">
        <f>_xlfn.XLOOKUP(B72,'Ke hoach giảng dạy CNTT'!D:D,'Ke hoach giảng dạy CNTT'!B:B)</f>
        <v>2</v>
      </c>
      <c r="V72" s="1">
        <f>_xlfn.XLOOKUP(B72,'Ke hoach giảng dạy CNTT'!D:D,'Ke hoach giảng dạy CNTT'!C:C)</f>
        <v>3</v>
      </c>
    </row>
    <row r="73" spans="1:22" ht="27.6" x14ac:dyDescent="0.3">
      <c r="A73" s="155">
        <f>COUNTA($B$10:B73)</f>
        <v>64</v>
      </c>
      <c r="B73" s="85" t="s">
        <v>60</v>
      </c>
      <c r="C73" s="86" t="s">
        <v>294</v>
      </c>
      <c r="D73" s="86" t="s">
        <v>295</v>
      </c>
      <c r="E73" s="85">
        <v>3</v>
      </c>
      <c r="F73" s="85">
        <v>30</v>
      </c>
      <c r="G73" s="85">
        <v>30</v>
      </c>
      <c r="H73" s="85">
        <v>0</v>
      </c>
      <c r="I73" s="85">
        <v>0</v>
      </c>
      <c r="J73" s="85" t="s">
        <v>120</v>
      </c>
      <c r="K73" s="85" t="s">
        <v>121</v>
      </c>
      <c r="L73" s="86" t="s">
        <v>121</v>
      </c>
      <c r="M73" s="150" t="s">
        <v>281</v>
      </c>
      <c r="N73" s="86" t="s">
        <v>296</v>
      </c>
      <c r="O73" s="146"/>
      <c r="P73" s="136" t="s">
        <v>129</v>
      </c>
      <c r="Q73" s="137" t="s">
        <v>130</v>
      </c>
      <c r="R73" s="160">
        <v>3</v>
      </c>
      <c r="S73" s="197">
        <v>2</v>
      </c>
      <c r="U73" s="2">
        <f>_xlfn.XLOOKUP(B73,'Ke hoach giảng dạy CNTT'!D:D,'Ke hoach giảng dạy CNTT'!B:B)</f>
        <v>3</v>
      </c>
      <c r="V73" s="1">
        <f>_xlfn.XLOOKUP(B73,'Ke hoach giảng dạy CNTT'!D:D,'Ke hoach giảng dạy CNTT'!C:C)</f>
        <v>2</v>
      </c>
    </row>
    <row r="74" spans="1:22" ht="27.6" x14ac:dyDescent="0.3">
      <c r="A74" s="155">
        <f>COUNTA($B$10:B74)</f>
        <v>65</v>
      </c>
      <c r="B74" s="85" t="s">
        <v>72</v>
      </c>
      <c r="C74" s="86" t="s">
        <v>297</v>
      </c>
      <c r="D74" s="86" t="s">
        <v>298</v>
      </c>
      <c r="E74" s="85">
        <v>3</v>
      </c>
      <c r="F74" s="85">
        <v>30</v>
      </c>
      <c r="G74" s="85">
        <v>30</v>
      </c>
      <c r="H74" s="85">
        <v>0</v>
      </c>
      <c r="I74" s="85">
        <v>0</v>
      </c>
      <c r="J74" s="85" t="s">
        <v>120</v>
      </c>
      <c r="K74" s="85" t="s">
        <v>121</v>
      </c>
      <c r="L74" s="86" t="s">
        <v>299</v>
      </c>
      <c r="M74" s="150" t="s">
        <v>281</v>
      </c>
      <c r="N74" s="86" t="s">
        <v>296</v>
      </c>
      <c r="O74" s="146"/>
      <c r="P74" s="136" t="s">
        <v>129</v>
      </c>
      <c r="Q74" s="137" t="s">
        <v>130</v>
      </c>
      <c r="R74" s="160">
        <v>1</v>
      </c>
      <c r="S74" s="197">
        <v>3</v>
      </c>
      <c r="U74" s="2">
        <f>_xlfn.XLOOKUP(B74,'Ke hoach giảng dạy CNTT'!D:D,'Ke hoach giảng dạy CNTT'!B:B)</f>
        <v>1</v>
      </c>
      <c r="V74" s="1">
        <f>_xlfn.XLOOKUP(B74,'Ke hoach giảng dạy CNTT'!D:D,'Ke hoach giảng dạy CNTT'!C:C)</f>
        <v>3</v>
      </c>
    </row>
    <row r="75" spans="1:22" ht="27.6" x14ac:dyDescent="0.3">
      <c r="A75" s="155">
        <f>COUNTA($B$10:B75)</f>
        <v>66</v>
      </c>
      <c r="B75" s="85" t="s">
        <v>73</v>
      </c>
      <c r="C75" s="86" t="s">
        <v>300</v>
      </c>
      <c r="D75" s="86" t="s">
        <v>301</v>
      </c>
      <c r="E75" s="85">
        <v>3</v>
      </c>
      <c r="F75" s="85">
        <v>30</v>
      </c>
      <c r="G75" s="85">
        <v>30</v>
      </c>
      <c r="H75" s="85">
        <v>0</v>
      </c>
      <c r="I75" s="85">
        <v>0</v>
      </c>
      <c r="J75" s="85" t="s">
        <v>120</v>
      </c>
      <c r="K75" s="85" t="s">
        <v>121</v>
      </c>
      <c r="L75" s="86" t="s">
        <v>121</v>
      </c>
      <c r="M75" s="150" t="s">
        <v>281</v>
      </c>
      <c r="N75" s="86" t="s">
        <v>296</v>
      </c>
      <c r="O75" s="146"/>
      <c r="P75" s="136" t="s">
        <v>129</v>
      </c>
      <c r="Q75" s="137" t="s">
        <v>130</v>
      </c>
      <c r="R75" s="160">
        <v>1</v>
      </c>
      <c r="S75" s="197">
        <v>3</v>
      </c>
      <c r="U75" s="2">
        <f>_xlfn.XLOOKUP(B75,'Ke hoach giảng dạy CNTT'!D:D,'Ke hoach giảng dạy CNTT'!B:B)</f>
        <v>1</v>
      </c>
      <c r="V75" s="1">
        <f>_xlfn.XLOOKUP(B75,'Ke hoach giảng dạy CNTT'!D:D,'Ke hoach giảng dạy CNTT'!C:C)</f>
        <v>3</v>
      </c>
    </row>
    <row r="76" spans="1:22" ht="27.6" x14ac:dyDescent="0.3">
      <c r="A76" s="155">
        <f>COUNTA($B$10:B76)</f>
        <v>67</v>
      </c>
      <c r="B76" s="85" t="s">
        <v>84</v>
      </c>
      <c r="C76" s="86" t="s">
        <v>302</v>
      </c>
      <c r="D76" s="86" t="s">
        <v>303</v>
      </c>
      <c r="E76" s="85">
        <v>3</v>
      </c>
      <c r="F76" s="85">
        <v>30</v>
      </c>
      <c r="G76" s="85">
        <v>30</v>
      </c>
      <c r="H76" s="85">
        <v>0</v>
      </c>
      <c r="I76" s="85">
        <v>0</v>
      </c>
      <c r="J76" s="85" t="s">
        <v>120</v>
      </c>
      <c r="K76" s="85" t="s">
        <v>121</v>
      </c>
      <c r="L76" s="86" t="s">
        <v>121</v>
      </c>
      <c r="M76" s="150" t="s">
        <v>281</v>
      </c>
      <c r="N76" s="86" t="s">
        <v>296</v>
      </c>
      <c r="O76" s="146"/>
      <c r="P76" s="136" t="s">
        <v>129</v>
      </c>
      <c r="Q76" s="137" t="s">
        <v>130</v>
      </c>
      <c r="R76" s="160">
        <v>2</v>
      </c>
      <c r="S76" s="197">
        <v>3</v>
      </c>
      <c r="U76" s="2">
        <f>_xlfn.XLOOKUP(B76,'Ke hoach giảng dạy CNTT'!D:D,'Ke hoach giảng dạy CNTT'!B:B)</f>
        <v>2</v>
      </c>
      <c r="V76" s="1">
        <f>_xlfn.XLOOKUP(B76,'Ke hoach giảng dạy CNTT'!D:D,'Ke hoach giảng dạy CNTT'!C:C)</f>
        <v>3</v>
      </c>
    </row>
    <row r="77" spans="1:22" ht="27.6" x14ac:dyDescent="0.3">
      <c r="A77" s="155">
        <f>COUNTA($B$10:B77)</f>
        <v>68</v>
      </c>
      <c r="B77" s="85" t="s">
        <v>85</v>
      </c>
      <c r="C77" s="86" t="s">
        <v>304</v>
      </c>
      <c r="D77" s="86" t="s">
        <v>305</v>
      </c>
      <c r="E77" s="85">
        <v>3</v>
      </c>
      <c r="F77" s="85">
        <v>30</v>
      </c>
      <c r="G77" s="85">
        <v>30</v>
      </c>
      <c r="H77" s="85">
        <v>0</v>
      </c>
      <c r="I77" s="85">
        <v>0</v>
      </c>
      <c r="J77" s="85" t="s">
        <v>120</v>
      </c>
      <c r="K77" s="85" t="s">
        <v>121</v>
      </c>
      <c r="L77" s="86" t="s">
        <v>306</v>
      </c>
      <c r="M77" s="150" t="s">
        <v>281</v>
      </c>
      <c r="N77" s="86" t="s">
        <v>296</v>
      </c>
      <c r="O77" s="146"/>
      <c r="P77" s="136" t="s">
        <v>129</v>
      </c>
      <c r="Q77" s="137" t="s">
        <v>130</v>
      </c>
      <c r="R77" s="160">
        <v>2</v>
      </c>
      <c r="S77" s="197">
        <v>3</v>
      </c>
      <c r="U77" s="2">
        <f>_xlfn.XLOOKUP(B77,'Ke hoach giảng dạy CNTT'!D:D,'Ke hoach giảng dạy CNTT'!B:B)</f>
        <v>2</v>
      </c>
      <c r="V77" s="1">
        <f>_xlfn.XLOOKUP(B77,'Ke hoach giảng dạy CNTT'!D:D,'Ke hoach giảng dạy CNTT'!C:C)</f>
        <v>3</v>
      </c>
    </row>
    <row r="78" spans="1:22" ht="27.6" x14ac:dyDescent="0.3">
      <c r="A78" s="155">
        <f>COUNTA($B$10:B78)</f>
        <v>69</v>
      </c>
      <c r="B78" s="85" t="s">
        <v>86</v>
      </c>
      <c r="C78" s="86" t="s">
        <v>307</v>
      </c>
      <c r="D78" s="86" t="s">
        <v>308</v>
      </c>
      <c r="E78" s="85">
        <v>3</v>
      </c>
      <c r="F78" s="85">
        <v>30</v>
      </c>
      <c r="G78" s="85">
        <v>30</v>
      </c>
      <c r="H78" s="85">
        <v>0</v>
      </c>
      <c r="I78" s="85">
        <v>0</v>
      </c>
      <c r="J78" s="85" t="s">
        <v>120</v>
      </c>
      <c r="K78" s="85" t="s">
        <v>121</v>
      </c>
      <c r="L78" s="86" t="s">
        <v>309</v>
      </c>
      <c r="M78" s="150" t="s">
        <v>281</v>
      </c>
      <c r="N78" s="86" t="s">
        <v>296</v>
      </c>
      <c r="O78" s="146"/>
      <c r="P78" s="136" t="s">
        <v>129</v>
      </c>
      <c r="Q78" s="137" t="s">
        <v>130</v>
      </c>
      <c r="R78" s="160">
        <v>2</v>
      </c>
      <c r="S78" s="197">
        <v>3</v>
      </c>
      <c r="U78" s="2">
        <f>_xlfn.XLOOKUP(B78,'Ke hoach giảng dạy CNTT'!D:D,'Ke hoach giảng dạy CNTT'!B:B)</f>
        <v>2</v>
      </c>
      <c r="V78" s="1">
        <f>_xlfn.XLOOKUP(B78,'Ke hoach giảng dạy CNTT'!D:D,'Ke hoach giảng dạy CNTT'!C:C)</f>
        <v>3</v>
      </c>
    </row>
    <row r="79" spans="1:22" ht="27.6" x14ac:dyDescent="0.3">
      <c r="A79" s="156">
        <f>COUNTA($B$10:B79)</f>
        <v>70</v>
      </c>
      <c r="B79" s="87" t="s">
        <v>62</v>
      </c>
      <c r="C79" s="88" t="s">
        <v>310</v>
      </c>
      <c r="D79" s="88" t="s">
        <v>311</v>
      </c>
      <c r="E79" s="87">
        <v>3</v>
      </c>
      <c r="F79" s="87">
        <v>30</v>
      </c>
      <c r="G79" s="87">
        <v>30</v>
      </c>
      <c r="H79" s="87">
        <v>0</v>
      </c>
      <c r="I79" s="87">
        <v>0</v>
      </c>
      <c r="J79" s="87" t="s">
        <v>120</v>
      </c>
      <c r="K79" s="89" t="s">
        <v>121</v>
      </c>
      <c r="L79" s="88" t="s">
        <v>122</v>
      </c>
      <c r="M79" s="151" t="s">
        <v>281</v>
      </c>
      <c r="N79" s="88" t="s">
        <v>312</v>
      </c>
      <c r="O79" s="147"/>
      <c r="P79" s="138" t="s">
        <v>129</v>
      </c>
      <c r="Q79" s="139" t="s">
        <v>130</v>
      </c>
      <c r="R79" s="161">
        <v>3</v>
      </c>
      <c r="S79" s="198">
        <v>2</v>
      </c>
      <c r="U79" s="2">
        <f>_xlfn.XLOOKUP(B79,'Ke hoach giảng dạy CNTT'!D:D,'Ke hoach giảng dạy CNTT'!B:B)</f>
        <v>3</v>
      </c>
      <c r="V79" s="1">
        <f>_xlfn.XLOOKUP(B79,'Ke hoach giảng dạy CNTT'!D:D,'Ke hoach giảng dạy CNTT'!C:C)</f>
        <v>2</v>
      </c>
    </row>
    <row r="80" spans="1:22" ht="27.6" x14ac:dyDescent="0.3">
      <c r="A80" s="156">
        <f>COUNTA($B$10:B80)</f>
        <v>71</v>
      </c>
      <c r="B80" s="87" t="s">
        <v>74</v>
      </c>
      <c r="C80" s="88" t="s">
        <v>313</v>
      </c>
      <c r="D80" s="88" t="s">
        <v>314</v>
      </c>
      <c r="E80" s="87">
        <v>3</v>
      </c>
      <c r="F80" s="87">
        <v>30</v>
      </c>
      <c r="G80" s="87">
        <v>30</v>
      </c>
      <c r="H80" s="87">
        <v>0</v>
      </c>
      <c r="I80" s="87">
        <v>0</v>
      </c>
      <c r="J80" s="87" t="s">
        <v>120</v>
      </c>
      <c r="K80" s="89" t="s">
        <v>121</v>
      </c>
      <c r="L80" s="88" t="s">
        <v>299</v>
      </c>
      <c r="M80" s="151" t="s">
        <v>281</v>
      </c>
      <c r="N80" s="88" t="s">
        <v>312</v>
      </c>
      <c r="O80" s="147"/>
      <c r="P80" s="138" t="s">
        <v>129</v>
      </c>
      <c r="Q80" s="139" t="s">
        <v>130</v>
      </c>
      <c r="R80" s="161">
        <v>1</v>
      </c>
      <c r="S80" s="198">
        <v>3</v>
      </c>
      <c r="U80" s="2">
        <f>_xlfn.XLOOKUP(B80,'Ke hoach giảng dạy CNTT'!D:D,'Ke hoach giảng dạy CNTT'!B:B)</f>
        <v>1</v>
      </c>
      <c r="V80" s="1">
        <f>_xlfn.XLOOKUP(B80,'Ke hoach giảng dạy CNTT'!D:D,'Ke hoach giảng dạy CNTT'!C:C)</f>
        <v>3</v>
      </c>
    </row>
    <row r="81" spans="1:25" ht="27.6" x14ac:dyDescent="0.3">
      <c r="A81" s="156">
        <f>COUNTA($B$10:B81)</f>
        <v>72</v>
      </c>
      <c r="B81" s="87" t="s">
        <v>75</v>
      </c>
      <c r="C81" s="88" t="s">
        <v>315</v>
      </c>
      <c r="D81" s="88" t="s">
        <v>316</v>
      </c>
      <c r="E81" s="87">
        <v>3</v>
      </c>
      <c r="F81" s="87">
        <v>30</v>
      </c>
      <c r="G81" s="87">
        <v>30</v>
      </c>
      <c r="H81" s="87">
        <v>0</v>
      </c>
      <c r="I81" s="87">
        <v>0</v>
      </c>
      <c r="J81" s="87" t="s">
        <v>120</v>
      </c>
      <c r="K81" s="89" t="s">
        <v>121</v>
      </c>
      <c r="L81" s="88" t="s">
        <v>299</v>
      </c>
      <c r="M81" s="151" t="s">
        <v>281</v>
      </c>
      <c r="N81" s="88" t="s">
        <v>312</v>
      </c>
      <c r="O81" s="147"/>
      <c r="P81" s="138" t="s">
        <v>129</v>
      </c>
      <c r="Q81" s="139" t="s">
        <v>130</v>
      </c>
      <c r="R81" s="161">
        <v>1</v>
      </c>
      <c r="S81" s="198">
        <v>3</v>
      </c>
      <c r="U81" s="2">
        <f>_xlfn.XLOOKUP(B81,'Ke hoach giảng dạy CNTT'!D:D,'Ke hoach giảng dạy CNTT'!B:B)</f>
        <v>1</v>
      </c>
      <c r="V81" s="1">
        <f>_xlfn.XLOOKUP(B81,'Ke hoach giảng dạy CNTT'!D:D,'Ke hoach giảng dạy CNTT'!C:C)</f>
        <v>3</v>
      </c>
    </row>
    <row r="82" spans="1:25" ht="27.6" x14ac:dyDescent="0.3">
      <c r="A82" s="156">
        <f>COUNTA($B$10:B82)</f>
        <v>73</v>
      </c>
      <c r="B82" s="87" t="s">
        <v>87</v>
      </c>
      <c r="C82" s="88" t="s">
        <v>317</v>
      </c>
      <c r="D82" s="88" t="s">
        <v>318</v>
      </c>
      <c r="E82" s="87">
        <v>3</v>
      </c>
      <c r="F82" s="87">
        <v>30</v>
      </c>
      <c r="G82" s="87">
        <v>30</v>
      </c>
      <c r="H82" s="87">
        <v>0</v>
      </c>
      <c r="I82" s="87">
        <v>0</v>
      </c>
      <c r="J82" s="87" t="s">
        <v>120</v>
      </c>
      <c r="K82" s="87" t="s">
        <v>121</v>
      </c>
      <c r="L82" s="88" t="s">
        <v>319</v>
      </c>
      <c r="M82" s="151" t="s">
        <v>281</v>
      </c>
      <c r="N82" s="88" t="s">
        <v>312</v>
      </c>
      <c r="O82" s="147"/>
      <c r="P82" s="138" t="s">
        <v>129</v>
      </c>
      <c r="Q82" s="139" t="s">
        <v>130</v>
      </c>
      <c r="R82" s="161">
        <v>2</v>
      </c>
      <c r="S82" s="198">
        <v>3</v>
      </c>
      <c r="U82" s="2">
        <f>_xlfn.XLOOKUP(B82,'Ke hoach giảng dạy CNTT'!D:D,'Ke hoach giảng dạy CNTT'!B:B)</f>
        <v>2</v>
      </c>
      <c r="V82" s="1">
        <f>_xlfn.XLOOKUP(B82,'Ke hoach giảng dạy CNTT'!D:D,'Ke hoach giảng dạy CNTT'!C:C)</f>
        <v>3</v>
      </c>
    </row>
    <row r="83" spans="1:25" ht="27.6" x14ac:dyDescent="0.3">
      <c r="A83" s="156">
        <f>COUNTA($B$10:B83)</f>
        <v>74</v>
      </c>
      <c r="B83" s="87" t="s">
        <v>88</v>
      </c>
      <c r="C83" s="88" t="s">
        <v>320</v>
      </c>
      <c r="D83" s="88" t="s">
        <v>321</v>
      </c>
      <c r="E83" s="87">
        <v>3</v>
      </c>
      <c r="F83" s="87">
        <v>30</v>
      </c>
      <c r="G83" s="87">
        <v>30</v>
      </c>
      <c r="H83" s="87">
        <v>0</v>
      </c>
      <c r="I83" s="87">
        <v>0</v>
      </c>
      <c r="J83" s="87" t="s">
        <v>120</v>
      </c>
      <c r="K83" s="89" t="s">
        <v>121</v>
      </c>
      <c r="L83" s="88" t="s">
        <v>322</v>
      </c>
      <c r="M83" s="151" t="s">
        <v>281</v>
      </c>
      <c r="N83" s="88" t="s">
        <v>312</v>
      </c>
      <c r="O83" s="147"/>
      <c r="P83" s="138" t="s">
        <v>129</v>
      </c>
      <c r="Q83" s="139" t="s">
        <v>130</v>
      </c>
      <c r="R83" s="161">
        <v>2</v>
      </c>
      <c r="S83" s="198">
        <v>3</v>
      </c>
      <c r="T83" s="2"/>
      <c r="U83" s="2">
        <f>_xlfn.XLOOKUP(B83,'Ke hoach giảng dạy CNTT'!D:D,'Ke hoach giảng dạy CNTT'!B:B)</f>
        <v>2</v>
      </c>
      <c r="V83" s="1">
        <f>_xlfn.XLOOKUP(B83,'Ke hoach giảng dạy CNTT'!D:D,'Ke hoach giảng dạy CNTT'!C:C)</f>
        <v>3</v>
      </c>
    </row>
    <row r="84" spans="1:25" s="2" customFormat="1" ht="27.6" x14ac:dyDescent="0.3">
      <c r="A84" s="156">
        <f>COUNTA($B$10:B84)</f>
        <v>75</v>
      </c>
      <c r="B84" s="87" t="s">
        <v>89</v>
      </c>
      <c r="C84" s="88" t="s">
        <v>323</v>
      </c>
      <c r="D84" s="88" t="s">
        <v>324</v>
      </c>
      <c r="E84" s="87">
        <v>3</v>
      </c>
      <c r="F84" s="87">
        <v>30</v>
      </c>
      <c r="G84" s="87">
        <v>30</v>
      </c>
      <c r="H84" s="87">
        <v>0</v>
      </c>
      <c r="I84" s="87">
        <v>0</v>
      </c>
      <c r="J84" s="87" t="s">
        <v>120</v>
      </c>
      <c r="K84" s="89" t="s">
        <v>121</v>
      </c>
      <c r="L84" s="88" t="s">
        <v>122</v>
      </c>
      <c r="M84" s="151" t="s">
        <v>281</v>
      </c>
      <c r="N84" s="88" t="s">
        <v>312</v>
      </c>
      <c r="O84" s="147"/>
      <c r="P84" s="138" t="s">
        <v>129</v>
      </c>
      <c r="Q84" s="139" t="s">
        <v>130</v>
      </c>
      <c r="R84" s="161">
        <v>2</v>
      </c>
      <c r="S84" s="198">
        <v>3</v>
      </c>
      <c r="U84" s="2">
        <f>_xlfn.XLOOKUP(B84,'Ke hoach giảng dạy CNTT'!D:D,'Ke hoach giảng dạy CNTT'!B:B)</f>
        <v>2</v>
      </c>
      <c r="V84" s="1">
        <f>_xlfn.XLOOKUP(B84,'Ke hoach giảng dạy CNTT'!D:D,'Ke hoach giảng dạy CNTT'!C:C)</f>
        <v>3</v>
      </c>
      <c r="W84" s="3"/>
      <c r="X84" s="3"/>
    </row>
    <row r="85" spans="1:25" s="2" customFormat="1" ht="27.6" x14ac:dyDescent="0.3">
      <c r="A85" s="171">
        <f>COUNTA($B$10:B85)</f>
        <v>76</v>
      </c>
      <c r="B85" s="172" t="s">
        <v>91</v>
      </c>
      <c r="C85" s="173" t="s">
        <v>325</v>
      </c>
      <c r="D85" s="173" t="s">
        <v>326</v>
      </c>
      <c r="E85" s="172">
        <v>3</v>
      </c>
      <c r="F85" s="172">
        <v>30</v>
      </c>
      <c r="G85" s="172">
        <v>30</v>
      </c>
      <c r="H85" s="172">
        <v>0</v>
      </c>
      <c r="I85" s="172">
        <v>0</v>
      </c>
      <c r="J85" s="172" t="s">
        <v>327</v>
      </c>
      <c r="K85" s="172" t="s">
        <v>121</v>
      </c>
      <c r="L85" s="173" t="s">
        <v>328</v>
      </c>
      <c r="M85" s="174" t="s">
        <v>281</v>
      </c>
      <c r="N85" s="173" t="s">
        <v>329</v>
      </c>
      <c r="O85" s="175"/>
      <c r="P85" s="176" t="s">
        <v>245</v>
      </c>
      <c r="Q85" s="177" t="s">
        <v>246</v>
      </c>
      <c r="R85" s="178">
        <v>1</v>
      </c>
      <c r="S85" s="199">
        <v>3</v>
      </c>
      <c r="U85" s="2">
        <f>_xlfn.XLOOKUP(B85,'Ke hoach giảng dạy CNTT'!D:D,'Ke hoach giảng dạy CNTT'!B:B)</f>
        <v>2</v>
      </c>
      <c r="V85" s="1">
        <f>_xlfn.XLOOKUP(B85,'Ke hoach giảng dạy CNTT'!D:D,'Ke hoach giảng dạy CNTT'!C:C)</f>
        <v>3</v>
      </c>
      <c r="W85" s="3"/>
      <c r="X85" s="3"/>
    </row>
    <row r="86" spans="1:25" ht="27.6" x14ac:dyDescent="0.3">
      <c r="A86" s="171">
        <f>COUNTA($B$10:B86)</f>
        <v>77</v>
      </c>
      <c r="B86" s="172" t="s">
        <v>93</v>
      </c>
      <c r="C86" s="173" t="s">
        <v>330</v>
      </c>
      <c r="D86" s="173" t="s">
        <v>331</v>
      </c>
      <c r="E86" s="172">
        <v>3</v>
      </c>
      <c r="F86" s="172">
        <v>30</v>
      </c>
      <c r="G86" s="172">
        <v>30</v>
      </c>
      <c r="H86" s="172">
        <v>0</v>
      </c>
      <c r="I86" s="172">
        <v>0</v>
      </c>
      <c r="J86" s="172" t="s">
        <v>327</v>
      </c>
      <c r="K86" s="179" t="s">
        <v>121</v>
      </c>
      <c r="L86" s="174" t="s">
        <v>332</v>
      </c>
      <c r="M86" s="174" t="s">
        <v>281</v>
      </c>
      <c r="N86" s="180" t="s">
        <v>329</v>
      </c>
      <c r="O86" s="181"/>
      <c r="P86" s="176" t="s">
        <v>245</v>
      </c>
      <c r="Q86" s="177" t="s">
        <v>246</v>
      </c>
      <c r="R86" s="178">
        <v>2</v>
      </c>
      <c r="S86" s="199">
        <v>3</v>
      </c>
      <c r="T86" s="2"/>
      <c r="U86" s="2">
        <f>_xlfn.XLOOKUP(B86,'Ke hoach giảng dạy CNTT'!D:D,'Ke hoach giảng dạy CNTT'!B:B)</f>
        <v>2</v>
      </c>
      <c r="V86" s="1">
        <f>_xlfn.XLOOKUP(B86,'Ke hoach giảng dạy CNTT'!D:D,'Ke hoach giảng dạy CNTT'!C:C)</f>
        <v>3</v>
      </c>
    </row>
    <row r="87" spans="1:25" ht="27.6" x14ac:dyDescent="0.3">
      <c r="A87" s="171">
        <f>COUNTA($B$10:B87)</f>
        <v>78</v>
      </c>
      <c r="B87" s="172" t="s">
        <v>92</v>
      </c>
      <c r="C87" s="173" t="s">
        <v>333</v>
      </c>
      <c r="D87" s="173" t="s">
        <v>334</v>
      </c>
      <c r="E87" s="172">
        <v>3</v>
      </c>
      <c r="F87" s="172">
        <v>30</v>
      </c>
      <c r="G87" s="172">
        <v>30</v>
      </c>
      <c r="H87" s="172">
        <v>0</v>
      </c>
      <c r="I87" s="172">
        <v>0</v>
      </c>
      <c r="J87" s="172" t="s">
        <v>327</v>
      </c>
      <c r="K87" s="179" t="s">
        <v>121</v>
      </c>
      <c r="L87" s="174" t="s">
        <v>121</v>
      </c>
      <c r="M87" s="174" t="s">
        <v>281</v>
      </c>
      <c r="N87" s="180" t="s">
        <v>329</v>
      </c>
      <c r="O87" s="181"/>
      <c r="P87" s="176" t="s">
        <v>245</v>
      </c>
      <c r="Q87" s="177" t="s">
        <v>246</v>
      </c>
      <c r="R87" s="178">
        <v>1</v>
      </c>
      <c r="S87" s="199">
        <v>3</v>
      </c>
      <c r="T87" s="2"/>
      <c r="U87" s="2">
        <f>_xlfn.XLOOKUP(B87,'Ke hoach giảng dạy CNTT'!D:D,'Ke hoach giảng dạy CNTT'!B:B)</f>
        <v>2</v>
      </c>
      <c r="V87" s="1">
        <f>_xlfn.XLOOKUP(B87,'Ke hoach giảng dạy CNTT'!D:D,'Ke hoach giảng dạy CNTT'!C:C)</f>
        <v>3</v>
      </c>
    </row>
    <row r="88" spans="1:25" ht="41.4" x14ac:dyDescent="0.3">
      <c r="A88" s="171">
        <f>COUNTA($B$10:B88)</f>
        <v>79</v>
      </c>
      <c r="B88" s="172" t="s">
        <v>79</v>
      </c>
      <c r="C88" s="173" t="s">
        <v>335</v>
      </c>
      <c r="D88" s="173" t="s">
        <v>336</v>
      </c>
      <c r="E88" s="172">
        <v>3</v>
      </c>
      <c r="F88" s="172">
        <v>30</v>
      </c>
      <c r="G88" s="172">
        <v>30</v>
      </c>
      <c r="H88" s="172">
        <v>0</v>
      </c>
      <c r="I88" s="172">
        <v>0</v>
      </c>
      <c r="J88" s="172" t="s">
        <v>327</v>
      </c>
      <c r="K88" s="179" t="s">
        <v>121</v>
      </c>
      <c r="L88" s="173" t="s">
        <v>122</v>
      </c>
      <c r="M88" s="174" t="s">
        <v>281</v>
      </c>
      <c r="N88" s="173" t="s">
        <v>329</v>
      </c>
      <c r="O88" s="175"/>
      <c r="P88" s="176" t="s">
        <v>234</v>
      </c>
      <c r="Q88" s="177" t="s">
        <v>235</v>
      </c>
      <c r="R88" s="178">
        <v>1</v>
      </c>
      <c r="S88" s="199">
        <v>3</v>
      </c>
      <c r="U88" s="2">
        <f>_xlfn.XLOOKUP(B88,'Ke hoach giảng dạy CNTT'!D:D,'Ke hoach giảng dạy CNTT'!B:B)</f>
        <v>1</v>
      </c>
      <c r="V88" s="1">
        <f>_xlfn.XLOOKUP(B88,'Ke hoach giảng dạy CNTT'!D:D,'Ke hoach giảng dạy CNTT'!C:C)</f>
        <v>3</v>
      </c>
    </row>
    <row r="89" spans="1:25" s="2" customFormat="1" ht="27.6" x14ac:dyDescent="0.3">
      <c r="A89" s="171">
        <f>COUNTA($B$10:B89)</f>
        <v>80</v>
      </c>
      <c r="B89" s="172" t="s">
        <v>94</v>
      </c>
      <c r="C89" s="173" t="s">
        <v>337</v>
      </c>
      <c r="D89" s="173" t="s">
        <v>338</v>
      </c>
      <c r="E89" s="172">
        <v>3</v>
      </c>
      <c r="F89" s="172">
        <v>30</v>
      </c>
      <c r="G89" s="172">
        <v>30</v>
      </c>
      <c r="H89" s="172">
        <v>0</v>
      </c>
      <c r="I89" s="172">
        <v>0</v>
      </c>
      <c r="J89" s="172" t="s">
        <v>327</v>
      </c>
      <c r="K89" s="172" t="s">
        <v>121</v>
      </c>
      <c r="L89" s="173" t="s">
        <v>339</v>
      </c>
      <c r="M89" s="174" t="s">
        <v>281</v>
      </c>
      <c r="N89" s="173" t="s">
        <v>329</v>
      </c>
      <c r="O89" s="175"/>
      <c r="P89" s="176" t="s">
        <v>245</v>
      </c>
      <c r="Q89" s="177" t="s">
        <v>246</v>
      </c>
      <c r="R89" s="178">
        <v>2</v>
      </c>
      <c r="S89" s="199">
        <v>3</v>
      </c>
      <c r="U89" s="2">
        <f>_xlfn.XLOOKUP(B89,'Ke hoach giảng dạy CNTT'!D:D,'Ke hoach giảng dạy CNTT'!B:B)</f>
        <v>2</v>
      </c>
      <c r="V89" s="1">
        <f>_xlfn.XLOOKUP(B89,'Ke hoach giảng dạy CNTT'!D:D,'Ke hoach giảng dạy CNTT'!C:C)</f>
        <v>3</v>
      </c>
      <c r="W89" s="3"/>
      <c r="X89" s="3"/>
    </row>
    <row r="90" spans="1:25" ht="30" customHeight="1" x14ac:dyDescent="0.3">
      <c r="A90" s="171">
        <f>COUNTA($B$10:B90)</f>
        <v>81</v>
      </c>
      <c r="B90" s="172" t="s">
        <v>78</v>
      </c>
      <c r="C90" s="173" t="s">
        <v>340</v>
      </c>
      <c r="D90" s="173" t="s">
        <v>341</v>
      </c>
      <c r="E90" s="172">
        <v>3</v>
      </c>
      <c r="F90" s="172">
        <v>30</v>
      </c>
      <c r="G90" s="172">
        <v>30</v>
      </c>
      <c r="H90" s="172">
        <v>0</v>
      </c>
      <c r="I90" s="172">
        <v>0</v>
      </c>
      <c r="J90" s="172" t="s">
        <v>327</v>
      </c>
      <c r="K90" s="179" t="s">
        <v>121</v>
      </c>
      <c r="L90" s="173" t="s">
        <v>121</v>
      </c>
      <c r="M90" s="174" t="s">
        <v>281</v>
      </c>
      <c r="N90" s="173" t="s">
        <v>329</v>
      </c>
      <c r="O90" s="175"/>
      <c r="P90" s="176" t="s">
        <v>129</v>
      </c>
      <c r="Q90" s="177" t="s">
        <v>130</v>
      </c>
      <c r="R90" s="178">
        <v>1</v>
      </c>
      <c r="S90" s="199">
        <v>3</v>
      </c>
      <c r="U90" s="2">
        <f>_xlfn.XLOOKUP(B90,'Ke hoach giảng dạy CNTT'!D:D,'Ke hoach giảng dạy CNTT'!B:B)</f>
        <v>1</v>
      </c>
      <c r="V90" s="1">
        <f>_xlfn.XLOOKUP(B90,'Ke hoach giảng dạy CNTT'!D:D,'Ke hoach giảng dạy CNTT'!C:C)</f>
        <v>3</v>
      </c>
    </row>
    <row r="91" spans="1:25" s="2" customFormat="1" ht="43.2" x14ac:dyDescent="0.3">
      <c r="A91" s="171">
        <f>COUNTA($B$10:B91)</f>
        <v>82</v>
      </c>
      <c r="B91" s="172" t="s">
        <v>52</v>
      </c>
      <c r="C91" s="182" t="s">
        <v>342</v>
      </c>
      <c r="D91" s="173" t="s">
        <v>343</v>
      </c>
      <c r="E91" s="172">
        <v>3</v>
      </c>
      <c r="F91" s="172">
        <v>30</v>
      </c>
      <c r="G91" s="172">
        <v>30</v>
      </c>
      <c r="H91" s="172">
        <v>0</v>
      </c>
      <c r="I91" s="172">
        <v>0</v>
      </c>
      <c r="J91" s="172" t="s">
        <v>327</v>
      </c>
      <c r="K91" s="179" t="s">
        <v>121</v>
      </c>
      <c r="L91" s="173" t="s">
        <v>309</v>
      </c>
      <c r="M91" s="174" t="s">
        <v>281</v>
      </c>
      <c r="N91" s="173" t="s">
        <v>329</v>
      </c>
      <c r="O91" s="175"/>
      <c r="P91" s="176" t="s">
        <v>234</v>
      </c>
      <c r="Q91" s="183" t="s">
        <v>235</v>
      </c>
      <c r="R91" s="178">
        <v>3</v>
      </c>
      <c r="S91" s="199">
        <v>2</v>
      </c>
      <c r="T91" s="3"/>
      <c r="U91" s="2">
        <f>_xlfn.XLOOKUP(B91,'Ke hoach giảng dạy CNTT'!D:D,'Ke hoach giảng dạy CNTT'!B:B)</f>
        <v>2</v>
      </c>
      <c r="V91" s="1">
        <f>_xlfn.XLOOKUP(B91,'Ke hoach giảng dạy CNTT'!D:D,'Ke hoach giảng dạy CNTT'!C:C)</f>
        <v>2</v>
      </c>
      <c r="W91" s="3"/>
      <c r="X91" s="3"/>
    </row>
    <row r="92" spans="1:25" s="2" customFormat="1" ht="28.8" x14ac:dyDescent="0.3">
      <c r="A92" s="184">
        <f>COUNTA($B$10:B92)</f>
        <v>83</v>
      </c>
      <c r="B92" s="172" t="s">
        <v>77</v>
      </c>
      <c r="C92" s="182" t="s">
        <v>344</v>
      </c>
      <c r="D92" s="182" t="s">
        <v>345</v>
      </c>
      <c r="E92" s="173">
        <v>3</v>
      </c>
      <c r="F92" s="172">
        <v>30</v>
      </c>
      <c r="G92" s="172">
        <v>30</v>
      </c>
      <c r="H92" s="172">
        <v>0</v>
      </c>
      <c r="I92" s="172">
        <v>0</v>
      </c>
      <c r="J92" s="172" t="s">
        <v>327</v>
      </c>
      <c r="K92" s="172" t="s">
        <v>121</v>
      </c>
      <c r="L92" s="179" t="s">
        <v>238</v>
      </c>
      <c r="M92" s="174" t="s">
        <v>281</v>
      </c>
      <c r="N92" s="174" t="s">
        <v>329</v>
      </c>
      <c r="O92" s="179"/>
      <c r="P92" s="179" t="s">
        <v>245</v>
      </c>
      <c r="Q92" s="191" t="s">
        <v>246</v>
      </c>
      <c r="R92" s="207">
        <v>3</v>
      </c>
      <c r="S92" s="208">
        <v>2</v>
      </c>
      <c r="T92" s="4"/>
      <c r="U92" s="2">
        <f>_xlfn.XLOOKUP(B92,'Ke hoach giảng dạy CNTT'!D:D,'Ke hoach giảng dạy CNTT'!B:B)</f>
        <v>1</v>
      </c>
      <c r="V92" s="1">
        <f>_xlfn.XLOOKUP(B92,'Ke hoach giảng dạy CNTT'!D:D,'Ke hoach giảng dạy CNTT'!C:C)</f>
        <v>3</v>
      </c>
      <c r="W92" s="3"/>
      <c r="X92" s="3"/>
      <c r="Y92" s="3"/>
    </row>
    <row r="93" spans="1:25" s="2" customFormat="1" x14ac:dyDescent="0.3">
      <c r="A93" s="185">
        <f>COUNTA($B$10:B93)</f>
        <v>84</v>
      </c>
      <c r="B93" s="186" t="s">
        <v>98</v>
      </c>
      <c r="C93" s="187" t="s">
        <v>346</v>
      </c>
      <c r="D93" s="187" t="s">
        <v>347</v>
      </c>
      <c r="E93" s="186">
        <v>4</v>
      </c>
      <c r="F93" s="186">
        <v>0</v>
      </c>
      <c r="G93" s="186">
        <v>0</v>
      </c>
      <c r="H93" s="186">
        <v>0</v>
      </c>
      <c r="I93" s="186">
        <v>180</v>
      </c>
      <c r="J93" s="188" t="s">
        <v>120</v>
      </c>
      <c r="K93" s="189" t="s">
        <v>121</v>
      </c>
      <c r="L93" s="276" t="s">
        <v>614</v>
      </c>
      <c r="M93" s="192" t="s">
        <v>348</v>
      </c>
      <c r="N93" s="190">
        <v>0</v>
      </c>
      <c r="O93" s="189"/>
      <c r="P93" s="189"/>
      <c r="Q93" s="187"/>
      <c r="R93" s="186">
        <v>3</v>
      </c>
      <c r="S93" s="209">
        <v>3</v>
      </c>
      <c r="T93" s="4"/>
      <c r="U93" s="2">
        <f>_xlfn.XLOOKUP(B93,'Ke hoach giảng dạy CNTT'!D:D,'Ke hoach giảng dạy CNTT'!B:B)</f>
        <v>3</v>
      </c>
      <c r="V93" s="1">
        <f>_xlfn.XLOOKUP(B93,'Ke hoach giảng dạy CNTT'!D:D,'Ke hoach giảng dạy CNTT'!C:C)</f>
        <v>3</v>
      </c>
      <c r="W93" s="3"/>
      <c r="X93" s="3"/>
      <c r="Y93" s="3"/>
    </row>
    <row r="94" spans="1:25" s="2" customFormat="1" ht="28.8" x14ac:dyDescent="0.3">
      <c r="A94" s="185">
        <f>COUNTA($B$10:B94)</f>
        <v>85</v>
      </c>
      <c r="B94" s="186" t="s">
        <v>100</v>
      </c>
      <c r="C94" s="187" t="s">
        <v>349</v>
      </c>
      <c r="D94" s="187" t="s">
        <v>350</v>
      </c>
      <c r="E94" s="186">
        <v>6</v>
      </c>
      <c r="F94" s="186">
        <v>0</v>
      </c>
      <c r="G94" s="186">
        <v>0</v>
      </c>
      <c r="H94" s="186">
        <v>270</v>
      </c>
      <c r="I94" s="186">
        <v>0</v>
      </c>
      <c r="J94" s="188" t="s">
        <v>351</v>
      </c>
      <c r="K94" s="189" t="s">
        <v>121</v>
      </c>
      <c r="L94" s="276" t="s">
        <v>630</v>
      </c>
      <c r="M94" s="192" t="s">
        <v>352</v>
      </c>
      <c r="N94" s="190">
        <v>0</v>
      </c>
      <c r="O94" s="189" t="s">
        <v>353</v>
      </c>
      <c r="P94" s="189"/>
      <c r="Q94" s="187"/>
      <c r="R94" s="186">
        <v>1</v>
      </c>
      <c r="S94" s="209">
        <v>4</v>
      </c>
      <c r="T94" s="4"/>
      <c r="U94" s="2">
        <f>_xlfn.XLOOKUP(B94,'Ke hoach giảng dạy CNTT'!D:D,'Ke hoach giảng dạy CNTT'!B:B)</f>
        <v>1</v>
      </c>
      <c r="V94" s="1">
        <f>_xlfn.XLOOKUP(B94,'Ke hoach giảng dạy CNTT'!D:D,'Ke hoach giảng dạy CNTT'!C:C)</f>
        <v>4</v>
      </c>
      <c r="W94" s="3"/>
      <c r="X94" s="3"/>
      <c r="Y94" s="3"/>
    </row>
    <row r="95" spans="1:25" s="2" customFormat="1" ht="28.8" x14ac:dyDescent="0.3">
      <c r="A95" s="185">
        <f>COUNTA($B$10:B95)</f>
        <v>86</v>
      </c>
      <c r="B95" s="186" t="s">
        <v>621</v>
      </c>
      <c r="C95" s="187" t="s">
        <v>622</v>
      </c>
      <c r="D95" s="187" t="s">
        <v>623</v>
      </c>
      <c r="E95" s="186">
        <v>3</v>
      </c>
      <c r="F95" s="186">
        <v>0</v>
      </c>
      <c r="G95" s="186">
        <v>0</v>
      </c>
      <c r="H95" s="186">
        <v>180</v>
      </c>
      <c r="I95" s="186"/>
      <c r="J95" s="188" t="s">
        <v>351</v>
      </c>
      <c r="K95" s="189" t="s">
        <v>121</v>
      </c>
      <c r="L95" s="276" t="s">
        <v>630</v>
      </c>
      <c r="M95" s="192" t="s">
        <v>352</v>
      </c>
      <c r="N95" s="190" t="s">
        <v>627</v>
      </c>
      <c r="O95" s="189" t="s">
        <v>628</v>
      </c>
      <c r="P95" s="189"/>
      <c r="Q95" s="187" t="s">
        <v>629</v>
      </c>
      <c r="R95" s="186">
        <v>1</v>
      </c>
      <c r="S95" s="209">
        <v>4</v>
      </c>
      <c r="T95" s="4"/>
      <c r="U95" s="2">
        <f>_xlfn.XLOOKUP(B95,'Ke hoach giảng dạy CNTT'!D:D,'Ke hoach giảng dạy CNTT'!B:B)</f>
        <v>1</v>
      </c>
      <c r="V95" s="1">
        <f>_xlfn.XLOOKUP(B95,'Ke hoach giảng dạy CNTT'!D:D,'Ke hoach giảng dạy CNTT'!C:C)</f>
        <v>4</v>
      </c>
      <c r="W95" s="3"/>
      <c r="X95" s="3"/>
      <c r="Y95" s="3"/>
    </row>
    <row r="96" spans="1:25" ht="28.8" x14ac:dyDescent="0.3">
      <c r="A96" s="185">
        <f>COUNTA($B$10:B96)</f>
        <v>87</v>
      </c>
      <c r="B96" s="186" t="s">
        <v>624</v>
      </c>
      <c r="C96" s="187" t="s">
        <v>625</v>
      </c>
      <c r="D96" s="187" t="s">
        <v>626</v>
      </c>
      <c r="E96" s="186">
        <v>3</v>
      </c>
      <c r="F96" s="186">
        <v>0</v>
      </c>
      <c r="G96" s="186">
        <v>0</v>
      </c>
      <c r="H96" s="186">
        <v>180</v>
      </c>
      <c r="I96" s="186"/>
      <c r="J96" s="188" t="s">
        <v>351</v>
      </c>
      <c r="K96" s="189" t="s">
        <v>121</v>
      </c>
      <c r="L96" s="276" t="s">
        <v>630</v>
      </c>
      <c r="M96" s="192" t="s">
        <v>352</v>
      </c>
      <c r="N96" s="190" t="s">
        <v>627</v>
      </c>
      <c r="O96" s="189" t="s">
        <v>628</v>
      </c>
      <c r="P96" s="189"/>
      <c r="Q96" s="187" t="s">
        <v>629</v>
      </c>
      <c r="R96" s="186">
        <v>1</v>
      </c>
      <c r="S96" s="209">
        <v>4</v>
      </c>
      <c r="U96" s="2">
        <f>_xlfn.XLOOKUP(B96,'Ke hoach giảng dạy CNTT'!D:D,'Ke hoach giảng dạy CNTT'!B:B)</f>
        <v>1</v>
      </c>
      <c r="V96" s="1">
        <f>_xlfn.XLOOKUP(B96,'Ke hoach giảng dạy CNTT'!D:D,'Ke hoach giảng dạy CNTT'!C:C)</f>
        <v>4</v>
      </c>
    </row>
    <row r="97" spans="1:19" ht="15" thickBot="1" x14ac:dyDescent="0.35">
      <c r="A97" s="165"/>
      <c r="B97" s="166"/>
      <c r="C97" s="167"/>
      <c r="D97" s="167"/>
      <c r="E97" s="166"/>
      <c r="F97" s="166"/>
      <c r="G97" s="166"/>
      <c r="H97" s="166"/>
      <c r="I97" s="166"/>
      <c r="J97" s="168"/>
      <c r="K97" s="169"/>
      <c r="L97" s="277"/>
      <c r="M97" s="168"/>
      <c r="N97" s="170"/>
      <c r="O97" s="169"/>
      <c r="P97" s="169"/>
      <c r="Q97" s="167"/>
      <c r="R97" s="169"/>
      <c r="S97" s="200"/>
    </row>
    <row r="99" spans="1:19" ht="17.25" customHeight="1" x14ac:dyDescent="0.3">
      <c r="O99" s="355" t="s">
        <v>609</v>
      </c>
      <c r="P99" s="355"/>
      <c r="Q99" s="355"/>
      <c r="R99" s="355"/>
    </row>
    <row r="100" spans="1:19" ht="16.8" x14ac:dyDescent="0.3">
      <c r="O100" s="343" t="s">
        <v>104</v>
      </c>
      <c r="P100" s="343"/>
      <c r="Q100" s="343"/>
      <c r="R100" s="343"/>
    </row>
    <row r="101" spans="1:19" x14ac:dyDescent="0.3">
      <c r="O101" s="5"/>
      <c r="P101" s="2"/>
      <c r="Q101" s="3"/>
    </row>
    <row r="102" spans="1:19" x14ac:dyDescent="0.3">
      <c r="O102" s="5"/>
      <c r="P102" s="2"/>
      <c r="Q102" s="3"/>
    </row>
    <row r="103" spans="1:19" x14ac:dyDescent="0.3">
      <c r="O103" s="5"/>
      <c r="P103" s="2"/>
      <c r="Q103" s="3"/>
    </row>
    <row r="104" spans="1:19" x14ac:dyDescent="0.3">
      <c r="O104" s="5"/>
      <c r="P104" s="2"/>
      <c r="Q104" s="3"/>
    </row>
    <row r="105" spans="1:19" ht="16.5" customHeight="1" x14ac:dyDescent="0.3">
      <c r="O105" s="343" t="s">
        <v>608</v>
      </c>
      <c r="P105" s="343"/>
      <c r="Q105" s="343"/>
      <c r="R105" s="343"/>
    </row>
  </sheetData>
  <sortState xmlns:xlrd2="http://schemas.microsoft.com/office/spreadsheetml/2017/richdata2" ref="B48:R55">
    <sortCondition ref="R48:R55"/>
    <sortCondition ref="C48:C55"/>
  </sortState>
  <mergeCells count="3">
    <mergeCell ref="O99:R99"/>
    <mergeCell ref="O100:R100"/>
    <mergeCell ref="O105:R105"/>
  </mergeCells>
  <phoneticPr fontId="14" type="noConversion"/>
  <conditionalFormatting sqref="A73:K78">
    <cfRule type="expression" dxfId="55" priority="1">
      <formula>#REF!&gt;=1</formula>
    </cfRule>
  </conditionalFormatting>
  <conditionalFormatting sqref="A10:O55 A79:C82">
    <cfRule type="expression" dxfId="54" priority="206">
      <formula>#REF!&gt;=1</formula>
    </cfRule>
  </conditionalFormatting>
  <conditionalFormatting sqref="A83:O84">
    <cfRule type="expression" dxfId="53" priority="8">
      <formula>#REF!&gt;=1</formula>
    </cfRule>
  </conditionalFormatting>
  <conditionalFormatting sqref="A85:O90">
    <cfRule type="expression" dxfId="52" priority="56">
      <formula>#REF!&gt;=1</formula>
    </cfRule>
  </conditionalFormatting>
  <conditionalFormatting sqref="B60:B78 B55:B58">
    <cfRule type="expression" dxfId="51" priority="186">
      <formula>#REF!=1</formula>
    </cfRule>
  </conditionalFormatting>
  <conditionalFormatting sqref="B69 M67:O67">
    <cfRule type="expression" dxfId="50" priority="187">
      <formula>#REF!&gt;=1</formula>
    </cfRule>
  </conditionalFormatting>
  <conditionalFormatting sqref="B79:B90 J87:J91 D81:O81 J85 B86:K88">
    <cfRule type="expression" dxfId="49" priority="46">
      <formula>#REF!=1</formula>
    </cfRule>
  </conditionalFormatting>
  <conditionalFormatting sqref="B60:H66 K61:L63 K60 K64:K66">
    <cfRule type="expression" dxfId="48" priority="70">
      <formula>#REF!&gt;=1</formula>
    </cfRule>
  </conditionalFormatting>
  <conditionalFormatting sqref="B70:K72">
    <cfRule type="expression" dxfId="47" priority="12">
      <formula>#REF!&gt;=1</formula>
    </cfRule>
  </conditionalFormatting>
  <conditionalFormatting sqref="C69:K69">
    <cfRule type="expression" dxfId="46" priority="182">
      <formula>#REF!&gt;=1</formula>
    </cfRule>
  </conditionalFormatting>
  <conditionalFormatting sqref="D91:J91">
    <cfRule type="expression" dxfId="45" priority="7">
      <formula>#REF!&gt;=1</formula>
    </cfRule>
  </conditionalFormatting>
  <conditionalFormatting sqref="D81:O82 A56:L56 M56:O58 B57:L58 M61:O63 B67:K68 J75:O75 D79:K80">
    <cfRule type="expression" dxfId="44" priority="58">
      <formula>#REF!&gt;=1</formula>
    </cfRule>
  </conditionalFormatting>
  <conditionalFormatting sqref="I60:J66">
    <cfRule type="expression" dxfId="43" priority="14">
      <formula>#REF!&gt;=1</formula>
    </cfRule>
  </conditionalFormatting>
  <conditionalFormatting sqref="J75">
    <cfRule type="expression" dxfId="42" priority="202">
      <formula>#REF!=1</formula>
    </cfRule>
  </conditionalFormatting>
  <conditionalFormatting sqref="L54">
    <cfRule type="expression" dxfId="41" priority="22">
      <formula>#REF!&gt;=1</formula>
    </cfRule>
  </conditionalFormatting>
  <conditionalFormatting sqref="L67">
    <cfRule type="expression" dxfId="40" priority="16">
      <formula>$J67="x"</formula>
    </cfRule>
  </conditionalFormatting>
  <conditionalFormatting sqref="L79">
    <cfRule type="expression" dxfId="39" priority="72">
      <formula>$J79="x"</formula>
    </cfRule>
  </conditionalFormatting>
  <conditionalFormatting sqref="L52:O52">
    <cfRule type="expression" dxfId="38" priority="137">
      <formula>#REF!&gt;=1</formula>
    </cfRule>
  </conditionalFormatting>
  <conditionalFormatting sqref="L62:O62 L81:O82 L85:O85 C73:C84 C60 C62 C64:C66 M79:O79">
    <cfRule type="expression" dxfId="37" priority="69">
      <formula>$J60="x"</formula>
    </cfRule>
  </conditionalFormatting>
  <conditionalFormatting sqref="L64:O66">
    <cfRule type="expression" dxfId="36" priority="67">
      <formula>$J64="x"</formula>
    </cfRule>
  </conditionalFormatting>
  <conditionalFormatting sqref="L68:O74">
    <cfRule type="expression" dxfId="35" priority="15">
      <formula>$J68="x"</formula>
    </cfRule>
  </conditionalFormatting>
  <conditionalFormatting sqref="L73:O73">
    <cfRule type="expression" dxfId="34" priority="2">
      <formula>#REF!&gt;=1</formula>
    </cfRule>
  </conditionalFormatting>
  <conditionalFormatting sqref="L74:O80">
    <cfRule type="expression" dxfId="33" priority="71">
      <formula>#REF!&gt;=1</formula>
    </cfRule>
  </conditionalFormatting>
  <conditionalFormatting sqref="L76:O78">
    <cfRule type="expression" dxfId="32" priority="11">
      <formula>$J76="x"</formula>
    </cfRule>
  </conditionalFormatting>
  <conditionalFormatting sqref="L88:O90 C90 K69:K72 L59:O60">
    <cfRule type="expression" dxfId="31" priority="181">
      <formula>$J59="x"</formula>
    </cfRule>
  </conditionalFormatting>
  <conditionalFormatting sqref="M91:N91">
    <cfRule type="expression" dxfId="30" priority="3">
      <formula>#REF!&gt;=1</formula>
    </cfRule>
    <cfRule type="expression" dxfId="29" priority="4">
      <formula>$J91="x"</formula>
    </cfRule>
  </conditionalFormatting>
  <pageMargins left="0.15748031496062992" right="0.15748031496062992" top="0.15748031496062992" bottom="0.15748031496062992" header="0.15748031496062992" footer="0.15748031496062992"/>
  <pageSetup paperSize="9" scale="4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CB56-75A7-4861-82E0-C5267CE86B59}">
  <dimension ref="A2:Y114"/>
  <sheetViews>
    <sheetView topLeftCell="A105" zoomScale="115" zoomScaleNormal="115" zoomScaleSheetLayoutView="85" workbookViewId="0">
      <selection activeCell="K112" sqref="K112"/>
    </sheetView>
  </sheetViews>
  <sheetFormatPr defaultColWidth="8.88671875" defaultRowHeight="14.4" x14ac:dyDescent="0.3"/>
  <cols>
    <col min="1" max="1" width="6" style="1" customWidth="1"/>
    <col min="2" max="2" width="16" style="1" customWidth="1"/>
    <col min="3" max="3" width="36.33203125" style="4" customWidth="1"/>
    <col min="4" max="4" width="27.6640625" style="4" customWidth="1"/>
    <col min="5" max="5" width="6.44140625" style="1" customWidth="1"/>
    <col min="6" max="8" width="5.44140625" style="1" customWidth="1"/>
    <col min="9" max="9" width="7" style="1" customWidth="1"/>
    <col min="10" max="10" width="13" style="5" customWidth="1"/>
    <col min="11" max="11" width="22.109375" style="3" customWidth="1"/>
    <col min="12" max="12" width="22.109375" style="278" customWidth="1"/>
    <col min="13" max="13" width="32.44140625" style="5" hidden="1" customWidth="1"/>
    <col min="14" max="14" width="18.88671875" style="281" hidden="1" customWidth="1"/>
    <col min="15" max="15" width="18.44140625" style="4" hidden="1" customWidth="1"/>
    <col min="16" max="16" width="13.88671875" style="3" hidden="1" customWidth="1"/>
    <col min="17" max="17" width="20" style="3" hidden="1" customWidth="1"/>
    <col min="18" max="19" width="9.44140625" style="3" hidden="1" customWidth="1"/>
    <col min="20" max="20" width="0" style="3" hidden="1" customWidth="1"/>
    <col min="21" max="21" width="0" style="1" hidden="1" customWidth="1"/>
    <col min="22" max="22" width="8.88671875" style="1"/>
    <col min="23" max="23" width="40.109375" style="3" customWidth="1"/>
    <col min="24" max="24" width="46.5546875" style="3" customWidth="1"/>
    <col min="25" max="16384" width="8.88671875" style="3"/>
  </cols>
  <sheetData>
    <row r="2" spans="1:24" ht="16.8" x14ac:dyDescent="0.3">
      <c r="A2" s="122" t="s">
        <v>0</v>
      </c>
      <c r="B2" s="3"/>
      <c r="C2" s="3"/>
      <c r="J2" s="3"/>
      <c r="L2" s="4"/>
      <c r="M2" s="1"/>
      <c r="N2" s="4"/>
      <c r="O2" s="279"/>
      <c r="P2" s="123"/>
      <c r="Q2" s="123"/>
    </row>
    <row r="3" spans="1:24" ht="16.8" x14ac:dyDescent="0.3">
      <c r="A3" s="122" t="s">
        <v>1</v>
      </c>
      <c r="B3" s="3"/>
      <c r="C3" s="3"/>
      <c r="J3" s="3"/>
      <c r="L3" s="4"/>
      <c r="M3" s="1"/>
      <c r="N3" s="4"/>
      <c r="O3" s="279"/>
      <c r="P3" s="123"/>
      <c r="Q3" s="123"/>
    </row>
    <row r="4" spans="1:24" x14ac:dyDescent="0.3">
      <c r="A4" s="3"/>
      <c r="B4" s="3"/>
      <c r="C4" s="3"/>
      <c r="J4" s="3"/>
      <c r="L4" s="4"/>
      <c r="M4" s="1"/>
      <c r="N4" s="4"/>
      <c r="O4" s="279"/>
      <c r="P4" s="123"/>
      <c r="Q4" s="123"/>
    </row>
    <row r="5" spans="1:24" ht="18.600000000000001" x14ac:dyDescent="0.3">
      <c r="A5" s="124" t="s">
        <v>105</v>
      </c>
      <c r="B5" s="3"/>
      <c r="C5" s="3"/>
      <c r="J5" s="3"/>
      <c r="L5" s="4"/>
      <c r="M5" s="1"/>
      <c r="N5" s="4"/>
      <c r="O5" s="279"/>
      <c r="P5" s="123"/>
      <c r="Q5" s="123"/>
    </row>
    <row r="6" spans="1:24" ht="18.600000000000001" x14ac:dyDescent="0.3">
      <c r="A6" s="124"/>
      <c r="B6" s="3"/>
      <c r="C6" s="3"/>
      <c r="J6" s="3"/>
      <c r="L6" s="4"/>
      <c r="M6" s="1"/>
      <c r="N6" s="4"/>
      <c r="O6" s="279"/>
      <c r="P6" s="123"/>
      <c r="Q6" s="123"/>
    </row>
    <row r="7" spans="1:24" ht="16.8" x14ac:dyDescent="0.3">
      <c r="A7" s="122" t="s">
        <v>106</v>
      </c>
      <c r="B7" s="3"/>
      <c r="C7" s="3"/>
      <c r="J7" s="3"/>
      <c r="L7" s="4"/>
      <c r="M7" s="1"/>
      <c r="N7" s="4"/>
      <c r="O7" s="279"/>
      <c r="P7" s="123"/>
      <c r="Q7" s="123"/>
    </row>
    <row r="8" spans="1:24" ht="19.2" customHeight="1" thickBot="1" x14ac:dyDescent="0.35">
      <c r="A8" s="3"/>
      <c r="B8" s="3"/>
      <c r="C8" s="3"/>
      <c r="E8" s="257">
        <f>E10+E53</f>
        <v>126</v>
      </c>
      <c r="F8" s="3"/>
      <c r="G8" s="3"/>
      <c r="H8" s="3"/>
      <c r="I8" s="3"/>
      <c r="J8" s="3"/>
      <c r="L8" s="4"/>
      <c r="M8" s="3"/>
      <c r="N8" s="4"/>
    </row>
    <row r="9" spans="1:24" ht="57" customHeight="1" x14ac:dyDescent="0.3">
      <c r="A9" s="250" t="s">
        <v>3</v>
      </c>
      <c r="B9" s="251" t="s">
        <v>6</v>
      </c>
      <c r="C9" s="251" t="s">
        <v>107</v>
      </c>
      <c r="D9" s="251" t="s">
        <v>108</v>
      </c>
      <c r="E9" s="252" t="s">
        <v>8</v>
      </c>
      <c r="F9" s="251" t="s">
        <v>15</v>
      </c>
      <c r="G9" s="251" t="s">
        <v>16</v>
      </c>
      <c r="H9" s="251" t="s">
        <v>17</v>
      </c>
      <c r="I9" s="251" t="s">
        <v>3</v>
      </c>
      <c r="J9" s="251" t="s">
        <v>109</v>
      </c>
      <c r="K9" s="251" t="s">
        <v>110</v>
      </c>
      <c r="L9" s="251" t="s">
        <v>111</v>
      </c>
      <c r="M9" s="251" t="s">
        <v>112</v>
      </c>
      <c r="N9" s="251" t="s">
        <v>113</v>
      </c>
      <c r="O9" s="251" t="s">
        <v>14</v>
      </c>
      <c r="P9" s="253" t="s">
        <v>114</v>
      </c>
      <c r="Q9" s="254" t="s">
        <v>115</v>
      </c>
      <c r="R9" s="255" t="s">
        <v>116</v>
      </c>
      <c r="S9" s="256" t="s">
        <v>117</v>
      </c>
    </row>
    <row r="10" spans="1:24" customFormat="1" ht="22.2" customHeight="1" x14ac:dyDescent="0.3">
      <c r="A10" s="247" t="s">
        <v>356</v>
      </c>
      <c r="B10" s="248"/>
      <c r="C10" s="248"/>
      <c r="D10" s="248"/>
      <c r="E10" s="249">
        <f>E11+E17+E23</f>
        <v>46</v>
      </c>
      <c r="F10" s="249" t="s">
        <v>357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</row>
    <row r="11" spans="1:24" customFormat="1" ht="16.95" customHeight="1" x14ac:dyDescent="0.3">
      <c r="A11" s="238" t="s">
        <v>358</v>
      </c>
      <c r="B11" s="239"/>
      <c r="C11" s="239"/>
      <c r="D11" s="239"/>
      <c r="E11" s="242">
        <f>SUM(E12:E16)</f>
        <v>14</v>
      </c>
      <c r="F11" s="242" t="s">
        <v>357</v>
      </c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</row>
    <row r="12" spans="1:24" ht="27.6" x14ac:dyDescent="0.3">
      <c r="A12" s="125">
        <f>COUNTA($B$12:B12)</f>
        <v>1</v>
      </c>
      <c r="B12" s="71" t="s">
        <v>69</v>
      </c>
      <c r="C12" s="72" t="s">
        <v>118</v>
      </c>
      <c r="D12" s="72" t="s">
        <v>119</v>
      </c>
      <c r="E12" s="71">
        <v>2</v>
      </c>
      <c r="F12" s="71">
        <v>30</v>
      </c>
      <c r="G12" s="71">
        <v>0</v>
      </c>
      <c r="H12" s="71">
        <v>0</v>
      </c>
      <c r="I12" s="71"/>
      <c r="J12" s="71" t="s">
        <v>120</v>
      </c>
      <c r="K12" s="73" t="s">
        <v>121</v>
      </c>
      <c r="L12" s="72" t="s">
        <v>122</v>
      </c>
      <c r="M12" s="236" t="s">
        <v>123</v>
      </c>
      <c r="N12" s="72"/>
      <c r="O12" s="282"/>
      <c r="P12" s="126" t="s">
        <v>124</v>
      </c>
      <c r="Q12" s="127" t="s">
        <v>125</v>
      </c>
      <c r="R12" s="128">
        <v>1</v>
      </c>
      <c r="S12" s="193">
        <v>3</v>
      </c>
      <c r="U12" s="2"/>
      <c r="W12" s="3">
        <f>_xlfn.XLOOKUP(B12,[2]Sheet!$C$10:$C$107,[2]Sheet!$K$10:$K$107)</f>
        <v>0</v>
      </c>
      <c r="X12" s="3" t="str">
        <f>IF(W12=0,"Không",W12)</f>
        <v>Không</v>
      </c>
    </row>
    <row r="13" spans="1:24" ht="27.6" x14ac:dyDescent="0.3">
      <c r="A13" s="125">
        <f>COUNTA($B$12:B13)</f>
        <v>2</v>
      </c>
      <c r="B13" s="71" t="s">
        <v>605</v>
      </c>
      <c r="C13" s="72" t="s">
        <v>606</v>
      </c>
      <c r="D13" s="72"/>
      <c r="E13" s="71">
        <v>2</v>
      </c>
      <c r="F13" s="71">
        <v>30</v>
      </c>
      <c r="G13" s="71">
        <v>0</v>
      </c>
      <c r="H13" s="71">
        <v>0</v>
      </c>
      <c r="I13" s="71"/>
      <c r="J13" s="71" t="s">
        <v>120</v>
      </c>
      <c r="K13" s="73" t="s">
        <v>121</v>
      </c>
      <c r="L13" s="72" t="s">
        <v>122</v>
      </c>
      <c r="M13" s="236" t="s">
        <v>123</v>
      </c>
      <c r="N13" s="72"/>
      <c r="O13" s="282"/>
      <c r="P13" s="126">
        <v>200111302</v>
      </c>
      <c r="Q13" s="127" t="s">
        <v>126</v>
      </c>
      <c r="R13" s="128">
        <v>1</v>
      </c>
      <c r="S13" s="193">
        <v>3</v>
      </c>
      <c r="U13" s="2"/>
      <c r="W13" s="3">
        <f>_xlfn.XLOOKUP(B13,[2]Sheet!$C$10:$C$107,[2]Sheet!$K$10:$K$107)</f>
        <v>0</v>
      </c>
      <c r="X13" s="3" t="str">
        <f t="shared" ref="X13:X76" si="0">IF(W13=0,"Không",W13)</f>
        <v>Không</v>
      </c>
    </row>
    <row r="14" spans="1:24" customFormat="1" ht="27.6" x14ac:dyDescent="0.3">
      <c r="A14" s="125">
        <f>COUNTA($B$12:B14)</f>
        <v>3</v>
      </c>
      <c r="B14" s="71" t="s">
        <v>30</v>
      </c>
      <c r="C14" s="72" t="s">
        <v>127</v>
      </c>
      <c r="D14" s="72" t="s">
        <v>128</v>
      </c>
      <c r="E14" s="71">
        <v>4</v>
      </c>
      <c r="F14" s="71">
        <v>45</v>
      </c>
      <c r="G14" s="71">
        <v>30</v>
      </c>
      <c r="H14" s="71">
        <v>0</v>
      </c>
      <c r="I14" s="71"/>
      <c r="J14" s="71" t="s">
        <v>120</v>
      </c>
      <c r="K14" s="73" t="s">
        <v>121</v>
      </c>
      <c r="L14" s="72" t="s">
        <v>122</v>
      </c>
      <c r="M14" s="236" t="s">
        <v>123</v>
      </c>
      <c r="N14" s="72"/>
      <c r="O14" s="282"/>
      <c r="P14" s="128" t="s">
        <v>129</v>
      </c>
      <c r="Q14" s="127" t="s">
        <v>130</v>
      </c>
      <c r="R14" s="128">
        <v>2</v>
      </c>
      <c r="S14" s="193">
        <v>1</v>
      </c>
      <c r="T14" s="3"/>
      <c r="U14" s="2"/>
      <c r="V14" s="1"/>
      <c r="W14" s="3">
        <f>_xlfn.XLOOKUP(B14,[2]Sheet!$C$10:$C$107,[2]Sheet!$K$10:$K$107)</f>
        <v>0</v>
      </c>
      <c r="X14" s="3" t="str">
        <f t="shared" si="0"/>
        <v>Không</v>
      </c>
    </row>
    <row r="15" spans="1:24" customFormat="1" ht="27.6" x14ac:dyDescent="0.3">
      <c r="A15" s="125">
        <f>COUNTA($B$12:B15)</f>
        <v>4</v>
      </c>
      <c r="B15" s="71" t="s">
        <v>38</v>
      </c>
      <c r="C15" s="72" t="s">
        <v>131</v>
      </c>
      <c r="D15" s="72" t="s">
        <v>132</v>
      </c>
      <c r="E15" s="71">
        <v>3</v>
      </c>
      <c r="F15" s="71">
        <v>30</v>
      </c>
      <c r="G15" s="71">
        <v>30</v>
      </c>
      <c r="H15" s="71">
        <v>0</v>
      </c>
      <c r="I15" s="71"/>
      <c r="J15" s="71" t="s">
        <v>120</v>
      </c>
      <c r="K15" s="73" t="s">
        <v>121</v>
      </c>
      <c r="L15" s="72" t="s">
        <v>122</v>
      </c>
      <c r="M15" s="236" t="s">
        <v>123</v>
      </c>
      <c r="N15" s="72"/>
      <c r="O15" s="282"/>
      <c r="P15" s="128" t="s">
        <v>129</v>
      </c>
      <c r="Q15" s="127" t="s">
        <v>130</v>
      </c>
      <c r="R15" s="128">
        <v>3</v>
      </c>
      <c r="S15" s="193">
        <v>1</v>
      </c>
      <c r="T15" s="3"/>
      <c r="U15" s="2"/>
      <c r="V15" s="1"/>
      <c r="W15" s="3">
        <f>_xlfn.XLOOKUP(B15,[2]Sheet!$C$10:$C$107,[2]Sheet!$K$10:$K$107)</f>
        <v>0</v>
      </c>
      <c r="X15" s="3" t="str">
        <f t="shared" si="0"/>
        <v>Không</v>
      </c>
    </row>
    <row r="16" spans="1:24" s="2" customFormat="1" ht="27.6" x14ac:dyDescent="0.3">
      <c r="A16" s="125">
        <f>COUNTA($B$12:B16)</f>
        <v>5</v>
      </c>
      <c r="B16" s="71" t="s">
        <v>22</v>
      </c>
      <c r="C16" s="72" t="s">
        <v>133</v>
      </c>
      <c r="D16" s="72"/>
      <c r="E16" s="71">
        <v>3</v>
      </c>
      <c r="F16" s="71">
        <v>45</v>
      </c>
      <c r="G16" s="71">
        <v>0</v>
      </c>
      <c r="H16" s="71">
        <v>0</v>
      </c>
      <c r="I16" s="71"/>
      <c r="J16" s="71" t="s">
        <v>120</v>
      </c>
      <c r="K16" s="73" t="s">
        <v>121</v>
      </c>
      <c r="L16" s="72" t="s">
        <v>121</v>
      </c>
      <c r="M16" s="236" t="s">
        <v>123</v>
      </c>
      <c r="N16" s="72"/>
      <c r="O16" s="282"/>
      <c r="P16" s="126" t="s">
        <v>134</v>
      </c>
      <c r="Q16" s="127" t="s">
        <v>135</v>
      </c>
      <c r="R16" s="128">
        <v>1</v>
      </c>
      <c r="S16" s="193">
        <v>1</v>
      </c>
      <c r="T16" s="3"/>
      <c r="V16" s="1"/>
      <c r="W16" s="3">
        <f>_xlfn.XLOOKUP(B16,[2]Sheet!$C$10:$C$107,[2]Sheet!$K$10:$K$107)</f>
        <v>0</v>
      </c>
      <c r="X16" s="3" t="str">
        <f t="shared" si="0"/>
        <v>Không</v>
      </c>
    </row>
    <row r="17" spans="1:25" customFormat="1" ht="17.399999999999999" customHeight="1" x14ac:dyDescent="0.3">
      <c r="A17" s="238" t="s">
        <v>359</v>
      </c>
      <c r="B17" s="240"/>
      <c r="C17" s="240"/>
      <c r="D17" s="240"/>
      <c r="E17" s="242">
        <f>SUM(E18:E22)</f>
        <v>11</v>
      </c>
      <c r="F17" s="242" t="s">
        <v>357</v>
      </c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W17" s="3">
        <f>_xlfn.XLOOKUP(B17,[2]Sheet!$C$10:$C$107,[2]Sheet!$K$10:$K$107)</f>
        <v>0</v>
      </c>
      <c r="X17" s="3" t="str">
        <f t="shared" si="0"/>
        <v>Không</v>
      </c>
    </row>
    <row r="18" spans="1:25" s="1" customFormat="1" ht="27.6" x14ac:dyDescent="0.3">
      <c r="A18" s="125">
        <v>1</v>
      </c>
      <c r="B18" s="71" t="s">
        <v>28</v>
      </c>
      <c r="C18" s="72" t="s">
        <v>136</v>
      </c>
      <c r="D18" s="72" t="s">
        <v>137</v>
      </c>
      <c r="E18" s="71">
        <v>3</v>
      </c>
      <c r="F18" s="71">
        <v>45</v>
      </c>
      <c r="G18" s="71">
        <v>0</v>
      </c>
      <c r="H18" s="71">
        <v>0</v>
      </c>
      <c r="I18" s="71"/>
      <c r="J18" s="71" t="s">
        <v>120</v>
      </c>
      <c r="K18" s="73" t="s">
        <v>121</v>
      </c>
      <c r="L18" s="72" t="s">
        <v>121</v>
      </c>
      <c r="M18" s="236" t="s">
        <v>138</v>
      </c>
      <c r="N18" s="72"/>
      <c r="O18" s="282"/>
      <c r="P18" s="126" t="s">
        <v>139</v>
      </c>
      <c r="Q18" s="127" t="s">
        <v>140</v>
      </c>
      <c r="R18" s="128">
        <v>2</v>
      </c>
      <c r="S18" s="193">
        <v>1</v>
      </c>
      <c r="T18" s="3"/>
      <c r="U18" s="2"/>
      <c r="W18" s="3">
        <f>_xlfn.XLOOKUP(B18,[2]Sheet!$C$10:$C$107,[2]Sheet!$K$10:$K$107)</f>
        <v>0</v>
      </c>
      <c r="X18" s="3" t="str">
        <f t="shared" si="0"/>
        <v>Không</v>
      </c>
      <c r="Y18" s="3"/>
    </row>
    <row r="19" spans="1:25" s="1" customFormat="1" ht="27.6" x14ac:dyDescent="0.3">
      <c r="A19" s="125">
        <v>2</v>
      </c>
      <c r="B19" s="71" t="s">
        <v>34</v>
      </c>
      <c r="C19" s="72" t="s">
        <v>141</v>
      </c>
      <c r="D19" s="72" t="s">
        <v>142</v>
      </c>
      <c r="E19" s="71">
        <v>2</v>
      </c>
      <c r="F19" s="71">
        <v>30</v>
      </c>
      <c r="G19" s="71">
        <v>0</v>
      </c>
      <c r="H19" s="71">
        <v>0</v>
      </c>
      <c r="I19" s="71"/>
      <c r="J19" s="71" t="s">
        <v>120</v>
      </c>
      <c r="K19" s="73" t="s">
        <v>121</v>
      </c>
      <c r="L19" s="72" t="s">
        <v>143</v>
      </c>
      <c r="M19" s="236" t="s">
        <v>138</v>
      </c>
      <c r="N19" s="72"/>
      <c r="O19" s="282"/>
      <c r="P19" s="126" t="s">
        <v>144</v>
      </c>
      <c r="Q19" s="127" t="s">
        <v>145</v>
      </c>
      <c r="R19" s="128">
        <v>3</v>
      </c>
      <c r="S19" s="193">
        <v>1</v>
      </c>
      <c r="T19" s="3"/>
      <c r="U19" s="2"/>
      <c r="W19" s="3" t="str">
        <f>_xlfn.XLOOKUP(B19,[2]Sheet!$C$10:$C$107,[2]Sheet!$K$10:$K$107)</f>
        <v>[71POLP10013]Triết học Mác-Lênin</v>
      </c>
      <c r="X19" s="3" t="str">
        <f t="shared" si="0"/>
        <v>[71POLP10013]Triết học Mác-Lênin</v>
      </c>
      <c r="Y19" s="3"/>
    </row>
    <row r="20" spans="1:25" s="1" customFormat="1" ht="27.6" x14ac:dyDescent="0.3">
      <c r="A20" s="125">
        <v>3</v>
      </c>
      <c r="B20" s="71" t="s">
        <v>44</v>
      </c>
      <c r="C20" s="72" t="s">
        <v>146</v>
      </c>
      <c r="D20" s="72" t="s">
        <v>147</v>
      </c>
      <c r="E20" s="71">
        <v>2</v>
      </c>
      <c r="F20" s="71">
        <v>30</v>
      </c>
      <c r="G20" s="71">
        <v>0</v>
      </c>
      <c r="H20" s="71">
        <v>0</v>
      </c>
      <c r="I20" s="71"/>
      <c r="J20" s="71" t="s">
        <v>120</v>
      </c>
      <c r="K20" s="73" t="s">
        <v>121</v>
      </c>
      <c r="L20" s="72" t="s">
        <v>143</v>
      </c>
      <c r="M20" s="236" t="s">
        <v>138</v>
      </c>
      <c r="N20" s="72"/>
      <c r="O20" s="282"/>
      <c r="P20" s="126" t="s">
        <v>139</v>
      </c>
      <c r="Q20" s="127" t="s">
        <v>140</v>
      </c>
      <c r="R20" s="128">
        <v>1</v>
      </c>
      <c r="S20" s="193">
        <v>2</v>
      </c>
      <c r="T20" s="3"/>
      <c r="U20" s="2"/>
      <c r="W20" s="3" t="str">
        <f>_xlfn.XLOOKUP(B20,[2]Sheet!$C$10:$C$107,[2]Sheet!$K$10:$K$107)</f>
        <v>[71POLP10013]Triết học Mác-Lênin</v>
      </c>
      <c r="X20" s="3" t="str">
        <f t="shared" si="0"/>
        <v>[71POLP10013]Triết học Mác-Lênin</v>
      </c>
      <c r="Y20" s="3"/>
    </row>
    <row r="21" spans="1:25" s="1" customFormat="1" ht="25.95" customHeight="1" x14ac:dyDescent="0.3">
      <c r="A21" s="125">
        <v>4</v>
      </c>
      <c r="B21" s="71" t="s">
        <v>97</v>
      </c>
      <c r="C21" s="72" t="s">
        <v>148</v>
      </c>
      <c r="D21" s="72" t="s">
        <v>149</v>
      </c>
      <c r="E21" s="71">
        <v>2</v>
      </c>
      <c r="F21" s="71">
        <v>30</v>
      </c>
      <c r="G21" s="71">
        <v>0</v>
      </c>
      <c r="H21" s="71">
        <v>0</v>
      </c>
      <c r="I21" s="71"/>
      <c r="J21" s="71" t="s">
        <v>120</v>
      </c>
      <c r="K21" s="73" t="s">
        <v>121</v>
      </c>
      <c r="L21" s="72" t="s">
        <v>150</v>
      </c>
      <c r="M21" s="236" t="s">
        <v>138</v>
      </c>
      <c r="N21" s="72"/>
      <c r="O21" s="282"/>
      <c r="P21" s="126" t="s">
        <v>151</v>
      </c>
      <c r="Q21" s="127" t="s">
        <v>152</v>
      </c>
      <c r="R21" s="128">
        <v>2</v>
      </c>
      <c r="S21" s="193">
        <v>2</v>
      </c>
      <c r="T21" s="3"/>
      <c r="U21" s="2"/>
      <c r="W21" s="3" t="str">
        <f>_xlfn.XLOOKUP(B21,[2]Sheet!$C$10:$C$107,[2]Sheet!$K$10:$K$107)</f>
        <v>[71POLE10022]Kinh tế chính trị Mác-Lênin, [71POLS10032]Chủ nghĩa xã hội khoa học</v>
      </c>
      <c r="X21" s="3" t="str">
        <f t="shared" si="0"/>
        <v>[71POLE10022]Kinh tế chính trị Mác-Lênin, [71POLS10032]Chủ nghĩa xã hội khoa học</v>
      </c>
      <c r="Y21" s="3"/>
    </row>
    <row r="22" spans="1:25" s="1" customFormat="1" ht="25.95" customHeight="1" x14ac:dyDescent="0.3">
      <c r="A22" s="125">
        <v>5</v>
      </c>
      <c r="B22" s="71" t="s">
        <v>96</v>
      </c>
      <c r="C22" s="72" t="s">
        <v>153</v>
      </c>
      <c r="D22" s="72" t="s">
        <v>154</v>
      </c>
      <c r="E22" s="71">
        <v>2</v>
      </c>
      <c r="F22" s="71">
        <v>30</v>
      </c>
      <c r="G22" s="71">
        <v>0</v>
      </c>
      <c r="H22" s="71">
        <v>0</v>
      </c>
      <c r="I22" s="71"/>
      <c r="J22" s="71" t="s">
        <v>120</v>
      </c>
      <c r="K22" s="73" t="s">
        <v>121</v>
      </c>
      <c r="L22" s="72" t="s">
        <v>150</v>
      </c>
      <c r="M22" s="236" t="s">
        <v>138</v>
      </c>
      <c r="N22" s="72"/>
      <c r="O22" s="282"/>
      <c r="P22" s="126" t="s">
        <v>151</v>
      </c>
      <c r="Q22" s="127" t="s">
        <v>152</v>
      </c>
      <c r="R22" s="128">
        <v>3</v>
      </c>
      <c r="S22" s="193">
        <v>2</v>
      </c>
      <c r="T22" s="3"/>
      <c r="U22" s="2"/>
      <c r="W22" s="3" t="str">
        <f>_xlfn.XLOOKUP(B22,[2]Sheet!$C$10:$C$107,[2]Sheet!$K$10:$K$107)</f>
        <v>[71POLE10022]Kinh tế chính trị Mác-Lênin, [71POLS10032]Chủ nghĩa xã hội khoa học</v>
      </c>
      <c r="X22" s="3" t="str">
        <f t="shared" si="0"/>
        <v>[71POLE10022]Kinh tế chính trị Mác-Lênin, [71POLS10032]Chủ nghĩa xã hội khoa học</v>
      </c>
      <c r="Y22" s="3"/>
    </row>
    <row r="23" spans="1:25" customFormat="1" ht="17.399999999999999" customHeight="1" x14ac:dyDescent="0.3">
      <c r="A23" s="238" t="s">
        <v>360</v>
      </c>
      <c r="B23" s="240"/>
      <c r="C23" s="240"/>
      <c r="D23" s="240"/>
      <c r="E23" s="242">
        <f>SUM(E24:E30)</f>
        <v>21</v>
      </c>
      <c r="F23" s="242" t="s">
        <v>357</v>
      </c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W23" s="3">
        <f>_xlfn.XLOOKUP(B23,[2]Sheet!$C$10:$C$107,[2]Sheet!$K$10:$K$107)</f>
        <v>0</v>
      </c>
      <c r="X23" s="3" t="str">
        <f t="shared" si="0"/>
        <v>Không</v>
      </c>
    </row>
    <row r="24" spans="1:25" s="1" customFormat="1" ht="27.6" x14ac:dyDescent="0.3">
      <c r="A24" s="125">
        <v>1</v>
      </c>
      <c r="B24" s="71" t="s">
        <v>19</v>
      </c>
      <c r="C24" s="72" t="s">
        <v>155</v>
      </c>
      <c r="D24" s="72" t="s">
        <v>156</v>
      </c>
      <c r="E24" s="71">
        <v>3</v>
      </c>
      <c r="F24" s="71">
        <v>30</v>
      </c>
      <c r="G24" s="71">
        <v>30</v>
      </c>
      <c r="H24" s="71">
        <v>0</v>
      </c>
      <c r="I24" s="71"/>
      <c r="J24" s="71" t="s">
        <v>120</v>
      </c>
      <c r="K24" s="73" t="s">
        <v>157</v>
      </c>
      <c r="L24" s="72" t="s">
        <v>122</v>
      </c>
      <c r="M24" s="236" t="s">
        <v>158</v>
      </c>
      <c r="N24" s="72"/>
      <c r="O24" s="282"/>
      <c r="P24" s="126">
        <v>200112601</v>
      </c>
      <c r="Q24" s="127" t="s">
        <v>159</v>
      </c>
      <c r="R24" s="128">
        <v>1</v>
      </c>
      <c r="S24" s="193">
        <v>1</v>
      </c>
      <c r="T24" s="3"/>
      <c r="U24" s="2"/>
      <c r="W24" s="3">
        <f>_xlfn.XLOOKUP(B24,[2]Sheet!$C$10:$C$107,[2]Sheet!$K$10:$K$107)</f>
        <v>0</v>
      </c>
      <c r="X24" s="3" t="str">
        <f t="shared" si="0"/>
        <v>Không</v>
      </c>
      <c r="Y24" s="3"/>
    </row>
    <row r="25" spans="1:25" s="1" customFormat="1" ht="27.6" x14ac:dyDescent="0.3">
      <c r="A25" s="125">
        <v>2</v>
      </c>
      <c r="B25" s="71" t="s">
        <v>29</v>
      </c>
      <c r="C25" s="72" t="s">
        <v>160</v>
      </c>
      <c r="D25" s="72" t="s">
        <v>161</v>
      </c>
      <c r="E25" s="71">
        <v>3</v>
      </c>
      <c r="F25" s="71">
        <v>30</v>
      </c>
      <c r="G25" s="71">
        <v>30</v>
      </c>
      <c r="H25" s="71">
        <v>0</v>
      </c>
      <c r="I25" s="71"/>
      <c r="J25" s="71" t="s">
        <v>120</v>
      </c>
      <c r="K25" s="73" t="s">
        <v>162</v>
      </c>
      <c r="L25" s="72" t="s">
        <v>122</v>
      </c>
      <c r="M25" s="236" t="s">
        <v>158</v>
      </c>
      <c r="N25" s="72"/>
      <c r="O25" s="282"/>
      <c r="P25" s="126">
        <v>200112601</v>
      </c>
      <c r="Q25" s="127" t="s">
        <v>159</v>
      </c>
      <c r="R25" s="128">
        <v>2</v>
      </c>
      <c r="S25" s="193">
        <v>1</v>
      </c>
      <c r="T25" s="3"/>
      <c r="U25" s="2"/>
      <c r="W25" s="3">
        <f>_xlfn.XLOOKUP(B25,[2]Sheet!$C$10:$C$107,[2]Sheet!$K$10:$K$107)</f>
        <v>0</v>
      </c>
      <c r="X25" s="3" t="str">
        <f t="shared" si="0"/>
        <v>Không</v>
      </c>
      <c r="Y25" s="3"/>
    </row>
    <row r="26" spans="1:25" ht="27.6" x14ac:dyDescent="0.3">
      <c r="A26" s="125">
        <v>3</v>
      </c>
      <c r="B26" s="71" t="s">
        <v>35</v>
      </c>
      <c r="C26" s="72" t="s">
        <v>163</v>
      </c>
      <c r="D26" s="72" t="s">
        <v>164</v>
      </c>
      <c r="E26" s="71">
        <v>3</v>
      </c>
      <c r="F26" s="71">
        <v>30</v>
      </c>
      <c r="G26" s="71">
        <v>30</v>
      </c>
      <c r="H26" s="71">
        <v>0</v>
      </c>
      <c r="I26" s="71"/>
      <c r="J26" s="71" t="s">
        <v>120</v>
      </c>
      <c r="K26" s="73" t="s">
        <v>165</v>
      </c>
      <c r="L26" s="72" t="s">
        <v>122</v>
      </c>
      <c r="M26" s="236" t="s">
        <v>158</v>
      </c>
      <c r="N26" s="72"/>
      <c r="O26" s="282"/>
      <c r="P26" s="126">
        <v>200112601</v>
      </c>
      <c r="Q26" s="127" t="s">
        <v>159</v>
      </c>
      <c r="R26" s="128">
        <v>3</v>
      </c>
      <c r="S26" s="193">
        <v>1</v>
      </c>
      <c r="U26" s="2"/>
      <c r="W26" s="3">
        <f>_xlfn.XLOOKUP(B26,[2]Sheet!$C$10:$C$107,[2]Sheet!$K$10:$K$107)</f>
        <v>0</v>
      </c>
      <c r="X26" s="3" t="str">
        <f t="shared" si="0"/>
        <v>Không</v>
      </c>
    </row>
    <row r="27" spans="1:25" ht="27.6" x14ac:dyDescent="0.3">
      <c r="A27" s="125">
        <v>4</v>
      </c>
      <c r="B27" s="71" t="s">
        <v>40</v>
      </c>
      <c r="C27" s="72" t="s">
        <v>166</v>
      </c>
      <c r="D27" s="72" t="s">
        <v>167</v>
      </c>
      <c r="E27" s="71">
        <v>3</v>
      </c>
      <c r="F27" s="71">
        <v>30</v>
      </c>
      <c r="G27" s="71">
        <v>30</v>
      </c>
      <c r="H27" s="71">
        <v>0</v>
      </c>
      <c r="I27" s="71"/>
      <c r="J27" s="71" t="s">
        <v>120</v>
      </c>
      <c r="K27" s="73" t="s">
        <v>168</v>
      </c>
      <c r="L27" s="72" t="s">
        <v>122</v>
      </c>
      <c r="M27" s="236" t="s">
        <v>158</v>
      </c>
      <c r="N27" s="72"/>
      <c r="O27" s="282"/>
      <c r="P27" s="126">
        <v>200112601</v>
      </c>
      <c r="Q27" s="127" t="s">
        <v>159</v>
      </c>
      <c r="R27" s="128">
        <v>1</v>
      </c>
      <c r="S27" s="193">
        <v>2</v>
      </c>
      <c r="U27" s="2"/>
      <c r="W27" s="3">
        <f>_xlfn.XLOOKUP(B27,[2]Sheet!$C$10:$C$107,[2]Sheet!$K$10:$K$107)</f>
        <v>0</v>
      </c>
      <c r="X27" s="3" t="str">
        <f t="shared" si="0"/>
        <v>Không</v>
      </c>
    </row>
    <row r="28" spans="1:25" ht="27.6" x14ac:dyDescent="0.3">
      <c r="A28" s="125">
        <v>5</v>
      </c>
      <c r="B28" s="71" t="s">
        <v>45</v>
      </c>
      <c r="C28" s="72" t="s">
        <v>169</v>
      </c>
      <c r="D28" s="72" t="s">
        <v>170</v>
      </c>
      <c r="E28" s="71">
        <v>3</v>
      </c>
      <c r="F28" s="71">
        <v>30</v>
      </c>
      <c r="G28" s="71">
        <v>30</v>
      </c>
      <c r="H28" s="71">
        <v>0</v>
      </c>
      <c r="I28" s="71"/>
      <c r="J28" s="71" t="s">
        <v>120</v>
      </c>
      <c r="K28" s="73" t="s">
        <v>171</v>
      </c>
      <c r="L28" s="72" t="s">
        <v>122</v>
      </c>
      <c r="M28" s="236" t="s">
        <v>158</v>
      </c>
      <c r="N28" s="72"/>
      <c r="O28" s="282"/>
      <c r="P28" s="126">
        <v>200112601</v>
      </c>
      <c r="Q28" s="127" t="s">
        <v>159</v>
      </c>
      <c r="R28" s="128">
        <v>2</v>
      </c>
      <c r="S28" s="193">
        <v>2</v>
      </c>
      <c r="U28" s="2"/>
      <c r="W28" s="3">
        <f>_xlfn.XLOOKUP(B28,[2]Sheet!$C$10:$C$107,[2]Sheet!$K$10:$K$107)</f>
        <v>0</v>
      </c>
      <c r="X28" s="3" t="str">
        <f t="shared" si="0"/>
        <v>Không</v>
      </c>
    </row>
    <row r="29" spans="1:25" ht="27.6" x14ac:dyDescent="0.3">
      <c r="A29" s="125">
        <v>6</v>
      </c>
      <c r="B29" s="71" t="s">
        <v>55</v>
      </c>
      <c r="C29" s="72" t="s">
        <v>172</v>
      </c>
      <c r="D29" s="72" t="s">
        <v>173</v>
      </c>
      <c r="E29" s="71">
        <v>3</v>
      </c>
      <c r="F29" s="71">
        <v>45</v>
      </c>
      <c r="G29" s="71">
        <v>0</v>
      </c>
      <c r="H29" s="71">
        <v>0</v>
      </c>
      <c r="I29" s="71"/>
      <c r="J29" s="71" t="s">
        <v>120</v>
      </c>
      <c r="K29" s="73" t="s">
        <v>174</v>
      </c>
      <c r="L29" s="72" t="s">
        <v>122</v>
      </c>
      <c r="M29" s="236" t="s">
        <v>158</v>
      </c>
      <c r="N29" s="72"/>
      <c r="O29" s="282"/>
      <c r="P29" s="126">
        <v>200112601</v>
      </c>
      <c r="Q29" s="127" t="s">
        <v>159</v>
      </c>
      <c r="R29" s="128">
        <v>3</v>
      </c>
      <c r="S29" s="193">
        <v>2</v>
      </c>
      <c r="U29" s="2"/>
      <c r="W29" s="3">
        <f>_xlfn.XLOOKUP(B29,[2]Sheet!$C$10:$C$107,[2]Sheet!$K$10:$K$107)</f>
        <v>0</v>
      </c>
      <c r="X29" s="3" t="str">
        <f t="shared" si="0"/>
        <v>Không</v>
      </c>
    </row>
    <row r="30" spans="1:25" ht="27.6" x14ac:dyDescent="0.3">
      <c r="A30" s="125">
        <v>7</v>
      </c>
      <c r="B30" s="71" t="s">
        <v>68</v>
      </c>
      <c r="C30" s="72" t="s">
        <v>175</v>
      </c>
      <c r="D30" s="72" t="s">
        <v>176</v>
      </c>
      <c r="E30" s="71">
        <v>3</v>
      </c>
      <c r="F30" s="71">
        <v>45</v>
      </c>
      <c r="G30" s="71">
        <v>0</v>
      </c>
      <c r="H30" s="71">
        <v>0</v>
      </c>
      <c r="I30" s="71"/>
      <c r="J30" s="71" t="s">
        <v>120</v>
      </c>
      <c r="K30" s="73" t="s">
        <v>177</v>
      </c>
      <c r="L30" s="72" t="s">
        <v>122</v>
      </c>
      <c r="M30" s="236" t="s">
        <v>158</v>
      </c>
      <c r="N30" s="72"/>
      <c r="O30" s="282"/>
      <c r="P30" s="126">
        <v>200112601</v>
      </c>
      <c r="Q30" s="127" t="s">
        <v>159</v>
      </c>
      <c r="R30" s="128">
        <v>1</v>
      </c>
      <c r="S30" s="193">
        <v>3</v>
      </c>
      <c r="U30" s="2"/>
      <c r="W30" s="3">
        <f>_xlfn.XLOOKUP(B30,[2]Sheet!$C$10:$C$107,[2]Sheet!$K$10:$K$107)</f>
        <v>0</v>
      </c>
      <c r="X30" s="3" t="str">
        <f t="shared" si="0"/>
        <v>Không</v>
      </c>
    </row>
    <row r="31" spans="1:25" customFormat="1" ht="16.95" customHeight="1" x14ac:dyDescent="0.3">
      <c r="A31" s="241" t="s">
        <v>361</v>
      </c>
      <c r="B31" s="239"/>
      <c r="C31" s="239"/>
      <c r="D31" s="239"/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W31" s="3">
        <f>_xlfn.XLOOKUP(B31,[2]Sheet!$C$10:$C$107,[2]Sheet!$K$10:$K$107)</f>
        <v>0</v>
      </c>
      <c r="X31" s="3" t="str">
        <f t="shared" si="0"/>
        <v>Không</v>
      </c>
    </row>
    <row r="32" spans="1:25" s="2" customFormat="1" ht="27.6" x14ac:dyDescent="0.3">
      <c r="A32" s="125">
        <v>1</v>
      </c>
      <c r="B32" s="71" t="s">
        <v>178</v>
      </c>
      <c r="C32" s="72" t="s">
        <v>179</v>
      </c>
      <c r="D32" s="72"/>
      <c r="E32" s="71">
        <v>2</v>
      </c>
      <c r="F32" s="71">
        <v>45</v>
      </c>
      <c r="G32" s="71">
        <v>60</v>
      </c>
      <c r="H32" s="71">
        <v>0</v>
      </c>
      <c r="I32" s="71"/>
      <c r="J32" s="71" t="s">
        <v>180</v>
      </c>
      <c r="K32" s="73" t="s">
        <v>121</v>
      </c>
      <c r="L32" s="72" t="s">
        <v>121</v>
      </c>
      <c r="M32" s="236" t="s">
        <v>181</v>
      </c>
      <c r="N32" s="72"/>
      <c r="O32" s="283"/>
      <c r="P32" s="126">
        <v>200113501</v>
      </c>
      <c r="Q32" s="127" t="s">
        <v>182</v>
      </c>
      <c r="R32" s="128">
        <v>2</v>
      </c>
      <c r="S32" s="193">
        <v>1</v>
      </c>
      <c r="T32" s="3"/>
      <c r="V32" s="1"/>
      <c r="W32" s="3">
        <f>_xlfn.XLOOKUP(B32,[2]Sheet!$C$10:$C$107,[2]Sheet!$K$10:$K$107)</f>
        <v>0</v>
      </c>
      <c r="X32" s="3" t="str">
        <f t="shared" si="0"/>
        <v>Không</v>
      </c>
    </row>
    <row r="33" spans="1:24" s="2" customFormat="1" ht="27.6" x14ac:dyDescent="0.3">
      <c r="A33" s="125">
        <v>2</v>
      </c>
      <c r="B33" s="71" t="s">
        <v>183</v>
      </c>
      <c r="C33" s="72" t="s">
        <v>184</v>
      </c>
      <c r="D33" s="72"/>
      <c r="E33" s="71">
        <v>2</v>
      </c>
      <c r="F33" s="71">
        <v>45</v>
      </c>
      <c r="G33" s="71">
        <v>60</v>
      </c>
      <c r="H33" s="71">
        <v>0</v>
      </c>
      <c r="I33" s="71"/>
      <c r="J33" s="71" t="s">
        <v>180</v>
      </c>
      <c r="K33" s="73" t="s">
        <v>121</v>
      </c>
      <c r="L33" s="72" t="s">
        <v>121</v>
      </c>
      <c r="M33" s="236" t="s">
        <v>181</v>
      </c>
      <c r="N33" s="72"/>
      <c r="O33" s="283"/>
      <c r="P33" s="126">
        <v>200113501</v>
      </c>
      <c r="Q33" s="127" t="s">
        <v>182</v>
      </c>
      <c r="R33" s="128">
        <v>2</v>
      </c>
      <c r="S33" s="193">
        <v>1</v>
      </c>
      <c r="T33" s="3"/>
      <c r="V33" s="1"/>
      <c r="W33" s="3">
        <f>_xlfn.XLOOKUP(B33,[2]Sheet!$C$10:$C$107,[2]Sheet!$K$10:$K$107)</f>
        <v>0</v>
      </c>
      <c r="X33" s="3" t="str">
        <f t="shared" si="0"/>
        <v>Không</v>
      </c>
    </row>
    <row r="34" spans="1:24" s="2" customFormat="1" ht="27.6" x14ac:dyDescent="0.3">
      <c r="A34" s="125">
        <v>3</v>
      </c>
      <c r="B34" s="71" t="s">
        <v>185</v>
      </c>
      <c r="C34" s="72" t="s">
        <v>186</v>
      </c>
      <c r="D34" s="72"/>
      <c r="E34" s="71">
        <v>2</v>
      </c>
      <c r="F34" s="71">
        <v>45</v>
      </c>
      <c r="G34" s="71">
        <v>8</v>
      </c>
      <c r="H34" s="71">
        <v>0</v>
      </c>
      <c r="I34" s="71"/>
      <c r="J34" s="71" t="s">
        <v>180</v>
      </c>
      <c r="K34" s="73" t="s">
        <v>121</v>
      </c>
      <c r="L34" s="72" t="s">
        <v>121</v>
      </c>
      <c r="M34" s="236" t="s">
        <v>181</v>
      </c>
      <c r="N34" s="72"/>
      <c r="O34" s="283"/>
      <c r="P34" s="126">
        <v>200113501</v>
      </c>
      <c r="Q34" s="127" t="s">
        <v>182</v>
      </c>
      <c r="R34" s="128">
        <v>2</v>
      </c>
      <c r="S34" s="193">
        <v>1</v>
      </c>
      <c r="T34" s="3"/>
      <c r="V34" s="1"/>
      <c r="W34" s="3">
        <f>_xlfn.XLOOKUP(B34,[2]Sheet!$C$10:$C$107,[2]Sheet!$K$10:$K$107)</f>
        <v>0</v>
      </c>
      <c r="X34" s="3" t="str">
        <f t="shared" si="0"/>
        <v>Không</v>
      </c>
    </row>
    <row r="35" spans="1:24" s="2" customFormat="1" ht="27.6" x14ac:dyDescent="0.3">
      <c r="A35" s="125">
        <v>4</v>
      </c>
      <c r="B35" s="71" t="s">
        <v>187</v>
      </c>
      <c r="C35" s="72" t="s">
        <v>188</v>
      </c>
      <c r="D35" s="72"/>
      <c r="E35" s="71">
        <v>2</v>
      </c>
      <c r="F35" s="71">
        <v>45</v>
      </c>
      <c r="G35" s="71">
        <v>8</v>
      </c>
      <c r="H35" s="71">
        <v>0</v>
      </c>
      <c r="I35" s="71"/>
      <c r="J35" s="71" t="s">
        <v>189</v>
      </c>
      <c r="K35" s="73" t="s">
        <v>121</v>
      </c>
      <c r="L35" s="72" t="s">
        <v>190</v>
      </c>
      <c r="M35" s="236" t="s">
        <v>181</v>
      </c>
      <c r="N35" s="72"/>
      <c r="O35" s="283"/>
      <c r="P35" s="126">
        <v>200113501</v>
      </c>
      <c r="Q35" s="127" t="s">
        <v>182</v>
      </c>
      <c r="R35" s="128">
        <v>3</v>
      </c>
      <c r="S35" s="193">
        <v>1</v>
      </c>
      <c r="T35" s="3"/>
      <c r="V35" s="1"/>
      <c r="W35" s="3" t="str">
        <f>_xlfn.XLOOKUP(B35,[2]Sheet!$C$10:$C$107,[2]Sheet!$K$10:$K$107)</f>
        <v>[71PEKC10062]Cờ vua</v>
      </c>
      <c r="X35" s="3" t="str">
        <f t="shared" si="0"/>
        <v>[71PEKC10062]Cờ vua</v>
      </c>
    </row>
    <row r="36" spans="1:24" s="2" customFormat="1" ht="27.6" x14ac:dyDescent="0.3">
      <c r="A36" s="125">
        <v>5</v>
      </c>
      <c r="B36" s="71" t="s">
        <v>191</v>
      </c>
      <c r="C36" s="72" t="s">
        <v>192</v>
      </c>
      <c r="D36" s="72"/>
      <c r="E36" s="71">
        <v>2</v>
      </c>
      <c r="F36" s="71">
        <v>45</v>
      </c>
      <c r="G36" s="71">
        <v>16</v>
      </c>
      <c r="H36" s="71">
        <v>0</v>
      </c>
      <c r="I36" s="71"/>
      <c r="J36" s="71" t="s">
        <v>189</v>
      </c>
      <c r="K36" s="73" t="s">
        <v>121</v>
      </c>
      <c r="L36" s="72" t="s">
        <v>121</v>
      </c>
      <c r="M36" s="236" t="s">
        <v>181</v>
      </c>
      <c r="N36" s="72"/>
      <c r="O36" s="283"/>
      <c r="P36" s="126">
        <v>200113501</v>
      </c>
      <c r="Q36" s="127" t="s">
        <v>182</v>
      </c>
      <c r="R36" s="128">
        <v>3</v>
      </c>
      <c r="S36" s="193">
        <v>1</v>
      </c>
      <c r="T36" s="3"/>
      <c r="V36" s="1"/>
      <c r="W36" s="3">
        <f>_xlfn.XLOOKUP(B36,[2]Sheet!$C$10:$C$107,[2]Sheet!$K$10:$K$107)</f>
        <v>0</v>
      </c>
      <c r="X36" s="3" t="str">
        <f t="shared" si="0"/>
        <v>Không</v>
      </c>
    </row>
    <row r="37" spans="1:24" s="2" customFormat="1" ht="27.6" x14ac:dyDescent="0.3">
      <c r="A37" s="125">
        <v>6</v>
      </c>
      <c r="B37" s="71" t="s">
        <v>193</v>
      </c>
      <c r="C37" s="72" t="s">
        <v>194</v>
      </c>
      <c r="D37" s="72"/>
      <c r="E37" s="71">
        <v>2</v>
      </c>
      <c r="F37" s="71">
        <v>45</v>
      </c>
      <c r="G37" s="71"/>
      <c r="H37" s="71"/>
      <c r="I37" s="71"/>
      <c r="J37" s="71" t="s">
        <v>189</v>
      </c>
      <c r="K37" s="73" t="s">
        <v>121</v>
      </c>
      <c r="L37" s="72" t="s">
        <v>121</v>
      </c>
      <c r="M37" s="236" t="s">
        <v>181</v>
      </c>
      <c r="N37" s="72"/>
      <c r="O37" s="283"/>
      <c r="P37" s="126">
        <v>200113501</v>
      </c>
      <c r="Q37" s="127" t="s">
        <v>182</v>
      </c>
      <c r="R37" s="128">
        <v>3</v>
      </c>
      <c r="S37" s="193">
        <v>1</v>
      </c>
      <c r="T37" s="3"/>
      <c r="V37" s="1"/>
      <c r="W37" s="3">
        <f>_xlfn.XLOOKUP(B37,[2]Sheet!$C$10:$C$107,[2]Sheet!$K$10:$K$107)</f>
        <v>0</v>
      </c>
      <c r="X37" s="3" t="str">
        <f t="shared" si="0"/>
        <v>Không</v>
      </c>
    </row>
    <row r="38" spans="1:24" s="2" customFormat="1" ht="27.6" x14ac:dyDescent="0.3">
      <c r="A38" s="125">
        <v>7</v>
      </c>
      <c r="B38" s="71" t="s">
        <v>195</v>
      </c>
      <c r="C38" s="72" t="s">
        <v>196</v>
      </c>
      <c r="D38" s="72"/>
      <c r="E38" s="71">
        <v>2</v>
      </c>
      <c r="F38" s="71">
        <v>45</v>
      </c>
      <c r="G38" s="71"/>
      <c r="H38" s="71"/>
      <c r="I38" s="71"/>
      <c r="J38" s="71" t="s">
        <v>189</v>
      </c>
      <c r="K38" s="73" t="s">
        <v>121</v>
      </c>
      <c r="L38" s="72" t="s">
        <v>121</v>
      </c>
      <c r="M38" s="236" t="s">
        <v>181</v>
      </c>
      <c r="N38" s="72"/>
      <c r="O38" s="283"/>
      <c r="P38" s="126">
        <v>200113501</v>
      </c>
      <c r="Q38" s="127" t="s">
        <v>182</v>
      </c>
      <c r="R38" s="128">
        <v>3</v>
      </c>
      <c r="S38" s="193">
        <v>1</v>
      </c>
      <c r="T38" s="3"/>
      <c r="V38" s="1"/>
      <c r="W38" s="3">
        <f>_xlfn.XLOOKUP(B38,[2]Sheet!$C$10:$C$107,[2]Sheet!$K$10:$K$107)</f>
        <v>0</v>
      </c>
      <c r="X38" s="3" t="str">
        <f t="shared" si="0"/>
        <v>Không</v>
      </c>
    </row>
    <row r="39" spans="1:24" s="2" customFormat="1" ht="27.6" x14ac:dyDescent="0.3">
      <c r="A39" s="125">
        <v>8</v>
      </c>
      <c r="B39" s="71" t="s">
        <v>197</v>
      </c>
      <c r="C39" s="72" t="s">
        <v>198</v>
      </c>
      <c r="D39" s="72"/>
      <c r="E39" s="71">
        <v>2</v>
      </c>
      <c r="F39" s="71">
        <v>45</v>
      </c>
      <c r="G39" s="71"/>
      <c r="H39" s="71"/>
      <c r="I39" s="71"/>
      <c r="J39" s="71" t="s">
        <v>189</v>
      </c>
      <c r="K39" s="73" t="s">
        <v>121</v>
      </c>
      <c r="L39" s="72" t="s">
        <v>121</v>
      </c>
      <c r="M39" s="236" t="s">
        <v>181</v>
      </c>
      <c r="N39" s="72"/>
      <c r="O39" s="283"/>
      <c r="P39" s="126">
        <v>200113501</v>
      </c>
      <c r="Q39" s="127" t="s">
        <v>182</v>
      </c>
      <c r="R39" s="128">
        <v>3</v>
      </c>
      <c r="S39" s="193">
        <v>1</v>
      </c>
      <c r="T39" s="3"/>
      <c r="V39" s="1"/>
      <c r="W39" s="3">
        <f>_xlfn.XLOOKUP(B39,[2]Sheet!$C$10:$C$107,[2]Sheet!$K$10:$K$107)</f>
        <v>0</v>
      </c>
      <c r="X39" s="3" t="str">
        <f t="shared" si="0"/>
        <v>Không</v>
      </c>
    </row>
    <row r="40" spans="1:24" s="2" customFormat="1" ht="27.6" x14ac:dyDescent="0.3">
      <c r="A40" s="125">
        <v>9</v>
      </c>
      <c r="B40" s="71" t="s">
        <v>199</v>
      </c>
      <c r="C40" s="72" t="s">
        <v>200</v>
      </c>
      <c r="D40" s="72"/>
      <c r="E40" s="71">
        <v>2</v>
      </c>
      <c r="F40" s="71">
        <v>45</v>
      </c>
      <c r="G40" s="71"/>
      <c r="H40" s="71"/>
      <c r="I40" s="71"/>
      <c r="J40" s="71" t="s">
        <v>189</v>
      </c>
      <c r="K40" s="73" t="s">
        <v>121</v>
      </c>
      <c r="L40" s="72" t="s">
        <v>121</v>
      </c>
      <c r="M40" s="236" t="s">
        <v>181</v>
      </c>
      <c r="N40" s="72"/>
      <c r="O40" s="283"/>
      <c r="P40" s="126">
        <v>200113501</v>
      </c>
      <c r="Q40" s="127" t="s">
        <v>182</v>
      </c>
      <c r="R40" s="128">
        <v>3</v>
      </c>
      <c r="S40" s="193">
        <v>1</v>
      </c>
      <c r="T40" s="3"/>
      <c r="V40" s="1"/>
      <c r="W40" s="3">
        <f>_xlfn.XLOOKUP(B40,[2]Sheet!$C$10:$C$107,[2]Sheet!$K$10:$K$107)</f>
        <v>0</v>
      </c>
      <c r="X40" s="3" t="str">
        <f t="shared" si="0"/>
        <v>Không</v>
      </c>
    </row>
    <row r="41" spans="1:24" s="2" customFormat="1" ht="27.6" x14ac:dyDescent="0.3">
      <c r="A41" s="125">
        <v>10</v>
      </c>
      <c r="B41" s="71" t="s">
        <v>201</v>
      </c>
      <c r="C41" s="72" t="s">
        <v>202</v>
      </c>
      <c r="D41" s="72"/>
      <c r="E41" s="71">
        <v>2</v>
      </c>
      <c r="F41" s="71">
        <v>45</v>
      </c>
      <c r="G41" s="71"/>
      <c r="H41" s="71"/>
      <c r="I41" s="71"/>
      <c r="J41" s="71" t="s">
        <v>189</v>
      </c>
      <c r="K41" s="73" t="s">
        <v>121</v>
      </c>
      <c r="L41" s="72" t="s">
        <v>121</v>
      </c>
      <c r="M41" s="236" t="s">
        <v>181</v>
      </c>
      <c r="N41" s="72"/>
      <c r="O41" s="283"/>
      <c r="P41" s="126">
        <v>200113501</v>
      </c>
      <c r="Q41" s="127" t="s">
        <v>182</v>
      </c>
      <c r="R41" s="128">
        <v>3</v>
      </c>
      <c r="S41" s="193">
        <v>1</v>
      </c>
      <c r="T41" s="3"/>
      <c r="V41" s="1"/>
      <c r="W41" s="3">
        <f>_xlfn.XLOOKUP(B41,[2]Sheet!$C$10:$C$107,[2]Sheet!$K$10:$K$107)</f>
        <v>0</v>
      </c>
      <c r="X41" s="3" t="str">
        <f t="shared" si="0"/>
        <v>Không</v>
      </c>
    </row>
    <row r="42" spans="1:24" s="2" customFormat="1" ht="27.6" x14ac:dyDescent="0.3">
      <c r="A42" s="125">
        <v>11</v>
      </c>
      <c r="B42" s="71" t="s">
        <v>203</v>
      </c>
      <c r="C42" s="72" t="s">
        <v>204</v>
      </c>
      <c r="D42" s="72"/>
      <c r="E42" s="71">
        <v>2</v>
      </c>
      <c r="F42" s="71">
        <v>45</v>
      </c>
      <c r="G42" s="71"/>
      <c r="H42" s="71"/>
      <c r="I42" s="71"/>
      <c r="J42" s="71" t="s">
        <v>189</v>
      </c>
      <c r="K42" s="73" t="s">
        <v>121</v>
      </c>
      <c r="L42" s="72" t="s">
        <v>121</v>
      </c>
      <c r="M42" s="236" t="s">
        <v>181</v>
      </c>
      <c r="N42" s="72"/>
      <c r="O42" s="283"/>
      <c r="P42" s="126">
        <v>200113501</v>
      </c>
      <c r="Q42" s="127" t="s">
        <v>182</v>
      </c>
      <c r="R42" s="128">
        <v>3</v>
      </c>
      <c r="S42" s="193">
        <v>1</v>
      </c>
      <c r="T42" s="3"/>
      <c r="V42" s="1"/>
      <c r="W42" s="3">
        <f>_xlfn.XLOOKUP(B42,[2]Sheet!$C$10:$C$107,[2]Sheet!$K$10:$K$107)</f>
        <v>0</v>
      </c>
      <c r="X42" s="3" t="str">
        <f t="shared" si="0"/>
        <v>Không</v>
      </c>
    </row>
    <row r="43" spans="1:24" s="2" customFormat="1" ht="27.6" x14ac:dyDescent="0.3">
      <c r="A43" s="125">
        <v>12</v>
      </c>
      <c r="B43" s="71" t="s">
        <v>205</v>
      </c>
      <c r="C43" s="72" t="s">
        <v>206</v>
      </c>
      <c r="D43" s="72"/>
      <c r="E43" s="71">
        <v>2</v>
      </c>
      <c r="F43" s="71">
        <v>45</v>
      </c>
      <c r="G43" s="71"/>
      <c r="H43" s="71"/>
      <c r="I43" s="71"/>
      <c r="J43" s="71" t="s">
        <v>189</v>
      </c>
      <c r="K43" s="73" t="s">
        <v>121</v>
      </c>
      <c r="L43" s="72" t="s">
        <v>121</v>
      </c>
      <c r="M43" s="236" t="s">
        <v>181</v>
      </c>
      <c r="N43" s="72"/>
      <c r="O43" s="283"/>
      <c r="P43" s="126">
        <v>200113501</v>
      </c>
      <c r="Q43" s="127" t="s">
        <v>182</v>
      </c>
      <c r="R43" s="128">
        <v>3</v>
      </c>
      <c r="S43" s="193">
        <v>1</v>
      </c>
      <c r="T43" s="3"/>
      <c r="V43" s="1"/>
      <c r="W43" s="3">
        <f>_xlfn.XLOOKUP(B43,[2]Sheet!$C$10:$C$107,[2]Sheet!$K$10:$K$107)</f>
        <v>0</v>
      </c>
      <c r="X43" s="3" t="str">
        <f t="shared" si="0"/>
        <v>Không</v>
      </c>
    </row>
    <row r="44" spans="1:24" s="2" customFormat="1" ht="27.6" x14ac:dyDescent="0.3">
      <c r="A44" s="125">
        <v>13</v>
      </c>
      <c r="B44" s="71" t="s">
        <v>207</v>
      </c>
      <c r="C44" s="72" t="s">
        <v>208</v>
      </c>
      <c r="D44" s="72"/>
      <c r="E44" s="71">
        <v>2</v>
      </c>
      <c r="F44" s="71">
        <v>45</v>
      </c>
      <c r="G44" s="71"/>
      <c r="H44" s="71"/>
      <c r="I44" s="71"/>
      <c r="J44" s="71" t="s">
        <v>189</v>
      </c>
      <c r="K44" s="73" t="s">
        <v>121</v>
      </c>
      <c r="L44" s="72" t="s">
        <v>121</v>
      </c>
      <c r="M44" s="236" t="s">
        <v>181</v>
      </c>
      <c r="N44" s="72"/>
      <c r="O44" s="283"/>
      <c r="P44" s="126">
        <v>200113501</v>
      </c>
      <c r="Q44" s="127" t="s">
        <v>182</v>
      </c>
      <c r="R44" s="128">
        <v>3</v>
      </c>
      <c r="S44" s="193">
        <v>1</v>
      </c>
      <c r="T44" s="3"/>
      <c r="V44" s="1"/>
      <c r="W44" s="3">
        <f>_xlfn.XLOOKUP(B44,[2]Sheet!$C$10:$C$107,[2]Sheet!$K$10:$K$107)</f>
        <v>0</v>
      </c>
      <c r="X44" s="3" t="str">
        <f t="shared" si="0"/>
        <v>Không</v>
      </c>
    </row>
    <row r="45" spans="1:24" s="2" customFormat="1" ht="27.6" x14ac:dyDescent="0.3">
      <c r="A45" s="125">
        <v>14</v>
      </c>
      <c r="B45" s="71" t="s">
        <v>209</v>
      </c>
      <c r="C45" s="72" t="s">
        <v>210</v>
      </c>
      <c r="D45" s="72"/>
      <c r="E45" s="71">
        <v>2</v>
      </c>
      <c r="F45" s="71">
        <v>45</v>
      </c>
      <c r="G45" s="71"/>
      <c r="H45" s="71"/>
      <c r="I45" s="71"/>
      <c r="J45" s="71" t="s">
        <v>189</v>
      </c>
      <c r="K45" s="73" t="s">
        <v>121</v>
      </c>
      <c r="L45" s="72" t="s">
        <v>121</v>
      </c>
      <c r="M45" s="236" t="s">
        <v>181</v>
      </c>
      <c r="N45" s="72"/>
      <c r="O45" s="283"/>
      <c r="P45" s="126">
        <v>200113501</v>
      </c>
      <c r="Q45" s="127" t="s">
        <v>182</v>
      </c>
      <c r="R45" s="128">
        <v>3</v>
      </c>
      <c r="S45" s="193">
        <v>1</v>
      </c>
      <c r="T45" s="3"/>
      <c r="V45" s="1"/>
      <c r="W45" s="3">
        <f>_xlfn.XLOOKUP(B45,[2]Sheet!$C$10:$C$107,[2]Sheet!$K$10:$K$107)</f>
        <v>0</v>
      </c>
      <c r="X45" s="3" t="str">
        <f t="shared" si="0"/>
        <v>Không</v>
      </c>
    </row>
    <row r="46" spans="1:24" s="2" customFormat="1" ht="27.6" x14ac:dyDescent="0.3">
      <c r="A46" s="125">
        <v>15</v>
      </c>
      <c r="B46" s="71" t="s">
        <v>211</v>
      </c>
      <c r="C46" s="72" t="s">
        <v>212</v>
      </c>
      <c r="D46" s="72"/>
      <c r="E46" s="71">
        <v>2</v>
      </c>
      <c r="F46" s="71">
        <v>45</v>
      </c>
      <c r="G46" s="71"/>
      <c r="H46" s="71"/>
      <c r="I46" s="71"/>
      <c r="J46" s="71" t="s">
        <v>189</v>
      </c>
      <c r="K46" s="73" t="s">
        <v>121</v>
      </c>
      <c r="L46" s="72" t="s">
        <v>121</v>
      </c>
      <c r="M46" s="236" t="s">
        <v>181</v>
      </c>
      <c r="N46" s="72"/>
      <c r="O46" s="283"/>
      <c r="P46" s="126">
        <v>200113501</v>
      </c>
      <c r="Q46" s="127" t="s">
        <v>182</v>
      </c>
      <c r="R46" s="128">
        <v>3</v>
      </c>
      <c r="S46" s="193">
        <v>1</v>
      </c>
      <c r="T46" s="3"/>
      <c r="V46" s="1"/>
      <c r="W46" s="3">
        <f>_xlfn.XLOOKUP(B46,[2]Sheet!$C$10:$C$107,[2]Sheet!$K$10:$K$107)</f>
        <v>0</v>
      </c>
      <c r="X46" s="3" t="str">
        <f t="shared" si="0"/>
        <v>Không</v>
      </c>
    </row>
    <row r="47" spans="1:24" s="2" customFormat="1" ht="27.6" x14ac:dyDescent="0.3">
      <c r="A47" s="125">
        <v>16</v>
      </c>
      <c r="B47" s="71" t="s">
        <v>213</v>
      </c>
      <c r="C47" s="72" t="s">
        <v>214</v>
      </c>
      <c r="D47" s="72"/>
      <c r="E47" s="71">
        <v>2</v>
      </c>
      <c r="F47" s="71">
        <v>45</v>
      </c>
      <c r="G47" s="71"/>
      <c r="H47" s="71"/>
      <c r="I47" s="71"/>
      <c r="J47" s="71" t="s">
        <v>189</v>
      </c>
      <c r="K47" s="73" t="s">
        <v>121</v>
      </c>
      <c r="L47" s="72" t="s">
        <v>121</v>
      </c>
      <c r="M47" s="236" t="s">
        <v>181</v>
      </c>
      <c r="N47" s="72"/>
      <c r="O47" s="283"/>
      <c r="P47" s="126">
        <v>200113501</v>
      </c>
      <c r="Q47" s="127" t="s">
        <v>182</v>
      </c>
      <c r="R47" s="128">
        <v>3</v>
      </c>
      <c r="S47" s="193">
        <v>1</v>
      </c>
      <c r="T47" s="3"/>
      <c r="V47" s="1"/>
      <c r="W47" s="3">
        <f>_xlfn.XLOOKUP(B47,[2]Sheet!$C$10:$C$107,[2]Sheet!$K$10:$K$107)</f>
        <v>0</v>
      </c>
      <c r="X47" s="3" t="str">
        <f t="shared" si="0"/>
        <v>Không</v>
      </c>
    </row>
    <row r="48" spans="1:24" s="2" customFormat="1" ht="27.6" x14ac:dyDescent="0.3">
      <c r="A48" s="125">
        <v>17</v>
      </c>
      <c r="B48" s="71" t="s">
        <v>215</v>
      </c>
      <c r="C48" s="72" t="s">
        <v>216</v>
      </c>
      <c r="D48" s="72"/>
      <c r="E48" s="71">
        <v>2</v>
      </c>
      <c r="F48" s="71">
        <v>45</v>
      </c>
      <c r="G48" s="71"/>
      <c r="H48" s="71"/>
      <c r="I48" s="71"/>
      <c r="J48" s="71" t="s">
        <v>189</v>
      </c>
      <c r="K48" s="73" t="s">
        <v>121</v>
      </c>
      <c r="L48" s="72" t="s">
        <v>121</v>
      </c>
      <c r="M48" s="236" t="s">
        <v>181</v>
      </c>
      <c r="N48" s="72"/>
      <c r="O48" s="283"/>
      <c r="P48" s="126">
        <v>200113501</v>
      </c>
      <c r="Q48" s="127" t="s">
        <v>182</v>
      </c>
      <c r="R48" s="128">
        <v>3</v>
      </c>
      <c r="S48" s="193">
        <v>1</v>
      </c>
      <c r="T48" s="3"/>
      <c r="V48" s="1"/>
      <c r="W48" s="3">
        <f>_xlfn.XLOOKUP(B48,[2]Sheet!$C$10:$C$107,[2]Sheet!$K$10:$K$107)</f>
        <v>0</v>
      </c>
      <c r="X48" s="3" t="str">
        <f t="shared" si="0"/>
        <v>Không</v>
      </c>
    </row>
    <row r="49" spans="1:24" s="2" customFormat="1" ht="27.6" x14ac:dyDescent="0.3">
      <c r="A49" s="125">
        <v>18</v>
      </c>
      <c r="B49" s="71" t="s">
        <v>23</v>
      </c>
      <c r="C49" s="72" t="s">
        <v>217</v>
      </c>
      <c r="D49" s="72"/>
      <c r="E49" s="71">
        <v>3</v>
      </c>
      <c r="F49" s="71"/>
      <c r="G49" s="71"/>
      <c r="H49" s="71"/>
      <c r="I49" s="71"/>
      <c r="J49" s="71" t="s">
        <v>362</v>
      </c>
      <c r="K49" s="73" t="s">
        <v>218</v>
      </c>
      <c r="L49" s="72" t="s">
        <v>218</v>
      </c>
      <c r="M49" s="236" t="s">
        <v>181</v>
      </c>
      <c r="N49" s="72"/>
      <c r="O49" s="283"/>
      <c r="P49" s="126">
        <v>200113301</v>
      </c>
      <c r="Q49" s="127" t="s">
        <v>219</v>
      </c>
      <c r="R49" s="128">
        <v>1</v>
      </c>
      <c r="S49" s="193">
        <v>1</v>
      </c>
      <c r="T49" s="3"/>
      <c r="V49" s="1"/>
      <c r="W49" s="3">
        <f>_xlfn.XLOOKUP(B49,[2]Sheet!$C$10:$C$107,[2]Sheet!$K$10:$K$107)</f>
        <v>0</v>
      </c>
      <c r="X49" s="3" t="str">
        <f t="shared" si="0"/>
        <v>Không</v>
      </c>
    </row>
    <row r="50" spans="1:24" s="2" customFormat="1" ht="27.6" x14ac:dyDescent="0.3">
      <c r="A50" s="125">
        <v>19</v>
      </c>
      <c r="B50" s="71" t="s">
        <v>24</v>
      </c>
      <c r="C50" s="72" t="s">
        <v>220</v>
      </c>
      <c r="D50" s="72"/>
      <c r="E50" s="71">
        <v>2</v>
      </c>
      <c r="F50" s="71"/>
      <c r="G50" s="71"/>
      <c r="H50" s="71"/>
      <c r="I50" s="71"/>
      <c r="J50" s="71" t="s">
        <v>362</v>
      </c>
      <c r="K50" s="73" t="s">
        <v>218</v>
      </c>
      <c r="L50" s="72" t="s">
        <v>218</v>
      </c>
      <c r="M50" s="236" t="s">
        <v>181</v>
      </c>
      <c r="N50" s="72"/>
      <c r="O50" s="283"/>
      <c r="P50" s="126">
        <v>200113301</v>
      </c>
      <c r="Q50" s="127" t="s">
        <v>219</v>
      </c>
      <c r="R50" s="128">
        <v>1</v>
      </c>
      <c r="S50" s="193">
        <v>1</v>
      </c>
      <c r="T50" s="3"/>
      <c r="V50" s="1"/>
      <c r="W50" s="3">
        <f>_xlfn.XLOOKUP(B50,[2]Sheet!$C$10:$C$107,[2]Sheet!$K$10:$K$107)</f>
        <v>0</v>
      </c>
      <c r="X50" s="3" t="str">
        <f t="shared" si="0"/>
        <v>Không</v>
      </c>
    </row>
    <row r="51" spans="1:24" s="2" customFormat="1" ht="27.6" x14ac:dyDescent="0.3">
      <c r="A51" s="125">
        <v>20</v>
      </c>
      <c r="B51" s="71" t="s">
        <v>25</v>
      </c>
      <c r="C51" s="72" t="s">
        <v>221</v>
      </c>
      <c r="D51" s="72"/>
      <c r="E51" s="71">
        <v>2</v>
      </c>
      <c r="F51" s="71"/>
      <c r="G51" s="71"/>
      <c r="H51" s="71"/>
      <c r="I51" s="71"/>
      <c r="J51" s="71" t="s">
        <v>362</v>
      </c>
      <c r="K51" s="73" t="s">
        <v>218</v>
      </c>
      <c r="L51" s="72" t="s">
        <v>218</v>
      </c>
      <c r="M51" s="236" t="s">
        <v>181</v>
      </c>
      <c r="N51" s="72"/>
      <c r="O51" s="283"/>
      <c r="P51" s="126">
        <v>200113301</v>
      </c>
      <c r="Q51" s="127" t="s">
        <v>219</v>
      </c>
      <c r="R51" s="128">
        <v>1</v>
      </c>
      <c r="S51" s="193">
        <v>1</v>
      </c>
      <c r="T51" s="3"/>
      <c r="V51" s="1"/>
      <c r="W51" s="3">
        <f>_xlfn.XLOOKUP(B51,[2]Sheet!$C$10:$C$107,[2]Sheet!$K$10:$K$107)</f>
        <v>0</v>
      </c>
      <c r="X51" s="3" t="str">
        <f t="shared" si="0"/>
        <v>Không</v>
      </c>
    </row>
    <row r="52" spans="1:24" s="2" customFormat="1" ht="27.6" x14ac:dyDescent="0.3">
      <c r="A52" s="125">
        <v>21</v>
      </c>
      <c r="B52" s="71" t="s">
        <v>26</v>
      </c>
      <c r="C52" s="72" t="s">
        <v>222</v>
      </c>
      <c r="D52" s="72"/>
      <c r="E52" s="71">
        <v>4</v>
      </c>
      <c r="F52" s="71"/>
      <c r="G52" s="71"/>
      <c r="H52" s="71"/>
      <c r="I52" s="71"/>
      <c r="J52" s="71" t="s">
        <v>362</v>
      </c>
      <c r="K52" s="73" t="s">
        <v>218</v>
      </c>
      <c r="L52" s="72" t="s">
        <v>218</v>
      </c>
      <c r="M52" s="236" t="s">
        <v>181</v>
      </c>
      <c r="N52" s="72"/>
      <c r="O52" s="283"/>
      <c r="P52" s="126">
        <v>200113301</v>
      </c>
      <c r="Q52" s="127" t="s">
        <v>219</v>
      </c>
      <c r="R52" s="128">
        <v>1</v>
      </c>
      <c r="S52" s="193">
        <v>1</v>
      </c>
      <c r="T52" s="3"/>
      <c r="V52" s="1"/>
      <c r="W52" s="3">
        <f>_xlfn.XLOOKUP(B52,[2]Sheet!$C$10:$C$107,[2]Sheet!$K$10:$K$107)</f>
        <v>0</v>
      </c>
      <c r="X52" s="3" t="str">
        <f t="shared" si="0"/>
        <v>Không</v>
      </c>
    </row>
    <row r="53" spans="1:24" customFormat="1" ht="22.2" customHeight="1" x14ac:dyDescent="0.3">
      <c r="A53" s="247" t="s">
        <v>363</v>
      </c>
      <c r="B53" s="248"/>
      <c r="C53" s="248"/>
      <c r="D53" s="248"/>
      <c r="E53" s="249">
        <f>SUM(E54,E62,E75,E108,E110)</f>
        <v>80</v>
      </c>
      <c r="F53" s="249" t="s">
        <v>357</v>
      </c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W53" s="3">
        <f>_xlfn.XLOOKUP(B53,[2]Sheet!$C$10:$C$107,[2]Sheet!$K$10:$K$107)</f>
        <v>0</v>
      </c>
      <c r="X53" s="3" t="str">
        <f t="shared" si="0"/>
        <v>Không</v>
      </c>
    </row>
    <row r="54" spans="1:24" customFormat="1" ht="22.2" customHeight="1" x14ac:dyDescent="0.3">
      <c r="A54" s="238" t="s">
        <v>364</v>
      </c>
      <c r="B54" s="239"/>
      <c r="C54" s="239"/>
      <c r="D54" s="239"/>
      <c r="E54" s="242">
        <f>SUM(E55:E61)</f>
        <v>22</v>
      </c>
      <c r="F54" s="242" t="s">
        <v>357</v>
      </c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W54" s="3">
        <f>_xlfn.XLOOKUP(B54,[2]Sheet!$C$10:$C$107,[2]Sheet!$K$10:$K$107)</f>
        <v>0</v>
      </c>
      <c r="X54" s="3" t="str">
        <f t="shared" si="0"/>
        <v>Không</v>
      </c>
    </row>
    <row r="55" spans="1:24" s="2" customFormat="1" ht="25.5" customHeight="1" x14ac:dyDescent="0.3">
      <c r="A55" s="152">
        <v>1</v>
      </c>
      <c r="B55" s="75" t="s">
        <v>20</v>
      </c>
      <c r="C55" s="76" t="s">
        <v>223</v>
      </c>
      <c r="D55" s="76" t="s">
        <v>224</v>
      </c>
      <c r="E55" s="75">
        <v>3</v>
      </c>
      <c r="F55" s="75">
        <v>30</v>
      </c>
      <c r="G55" s="75">
        <v>30</v>
      </c>
      <c r="H55" s="75">
        <v>0</v>
      </c>
      <c r="I55" s="75">
        <v>0</v>
      </c>
      <c r="J55" s="75" t="s">
        <v>120</v>
      </c>
      <c r="K55" s="77" t="s">
        <v>121</v>
      </c>
      <c r="L55" s="76" t="s">
        <v>121</v>
      </c>
      <c r="M55" s="237" t="s">
        <v>225</v>
      </c>
      <c r="N55" s="76"/>
      <c r="O55" s="284"/>
      <c r="P55" s="129" t="s">
        <v>226</v>
      </c>
      <c r="Q55" s="130" t="s">
        <v>227</v>
      </c>
      <c r="R55" s="157">
        <v>1</v>
      </c>
      <c r="S55" s="194">
        <v>1</v>
      </c>
      <c r="T55" s="3"/>
      <c r="U55" s="2">
        <f>_xlfn.XLOOKUP(B55,'Ke hoach giảng dạy CNTT'!D:D,'Ke hoach giảng dạy CNTT'!B:B)</f>
        <v>1</v>
      </c>
      <c r="V55" s="1">
        <f>_xlfn.XLOOKUP(B55,'Ke hoach giảng dạy CNTT'!D:D,'Ke hoach giảng dạy CNTT'!C:C)</f>
        <v>1</v>
      </c>
      <c r="W55" s="3">
        <f>_xlfn.XLOOKUP(B55,[2]Sheet!$C$10:$C$107,[2]Sheet!$K$10:$K$107)</f>
        <v>0</v>
      </c>
      <c r="X55" s="3" t="str">
        <f t="shared" si="0"/>
        <v>Không</v>
      </c>
    </row>
    <row r="56" spans="1:24" s="2" customFormat="1" ht="25.5" customHeight="1" x14ac:dyDescent="0.3">
      <c r="A56" s="152">
        <v>2</v>
      </c>
      <c r="B56" s="75" t="s">
        <v>21</v>
      </c>
      <c r="C56" s="76" t="s">
        <v>228</v>
      </c>
      <c r="D56" s="76" t="s">
        <v>229</v>
      </c>
      <c r="E56" s="75">
        <v>3</v>
      </c>
      <c r="F56" s="75">
        <v>30</v>
      </c>
      <c r="G56" s="75">
        <v>30</v>
      </c>
      <c r="H56" s="75">
        <v>0</v>
      </c>
      <c r="I56" s="75">
        <v>0</v>
      </c>
      <c r="J56" s="75" t="s">
        <v>120</v>
      </c>
      <c r="K56" s="77" t="s">
        <v>121</v>
      </c>
      <c r="L56" s="76" t="s">
        <v>121</v>
      </c>
      <c r="M56" s="237" t="s">
        <v>225</v>
      </c>
      <c r="N56" s="76"/>
      <c r="O56" s="284"/>
      <c r="P56" s="129" t="s">
        <v>226</v>
      </c>
      <c r="Q56" s="130" t="s">
        <v>227</v>
      </c>
      <c r="R56" s="157">
        <v>1</v>
      </c>
      <c r="S56" s="194">
        <v>1</v>
      </c>
      <c r="T56" s="3"/>
      <c r="U56" s="2">
        <f>_xlfn.XLOOKUP(B56,'Ke hoach giảng dạy CNTT'!D:D,'Ke hoach giảng dạy CNTT'!B:B)</f>
        <v>1</v>
      </c>
      <c r="V56" s="1">
        <f>_xlfn.XLOOKUP(B56,'Ke hoach giảng dạy CNTT'!D:D,'Ke hoach giảng dạy CNTT'!C:C)</f>
        <v>1</v>
      </c>
      <c r="W56" s="3">
        <f>_xlfn.XLOOKUP(B56,[2]Sheet!$C$10:$C$107,[2]Sheet!$K$10:$K$107)</f>
        <v>0</v>
      </c>
      <c r="X56" s="3" t="str">
        <f t="shared" si="0"/>
        <v>Không</v>
      </c>
    </row>
    <row r="57" spans="1:24" s="2" customFormat="1" ht="25.5" customHeight="1" x14ac:dyDescent="0.3">
      <c r="A57" s="152">
        <v>3</v>
      </c>
      <c r="B57" s="75" t="s">
        <v>36</v>
      </c>
      <c r="C57" s="76" t="s">
        <v>230</v>
      </c>
      <c r="D57" s="76" t="s">
        <v>231</v>
      </c>
      <c r="E57" s="75">
        <v>3</v>
      </c>
      <c r="F57" s="75">
        <v>30</v>
      </c>
      <c r="G57" s="75">
        <v>30</v>
      </c>
      <c r="H57" s="75">
        <v>0</v>
      </c>
      <c r="I57" s="75">
        <v>0</v>
      </c>
      <c r="J57" s="75" t="s">
        <v>120</v>
      </c>
      <c r="K57" s="77" t="s">
        <v>121</v>
      </c>
      <c r="L57" s="76" t="s">
        <v>121</v>
      </c>
      <c r="M57" s="237" t="s">
        <v>225</v>
      </c>
      <c r="N57" s="76"/>
      <c r="O57" s="284"/>
      <c r="P57" s="129" t="s">
        <v>226</v>
      </c>
      <c r="Q57" s="130" t="s">
        <v>227</v>
      </c>
      <c r="R57" s="157">
        <v>3</v>
      </c>
      <c r="S57" s="194">
        <v>1</v>
      </c>
      <c r="U57" s="2">
        <f>_xlfn.XLOOKUP(B57,'Ke hoach giảng dạy CNTT'!D:D,'Ke hoach giảng dạy CNTT'!B:B)</f>
        <v>3</v>
      </c>
      <c r="V57" s="1">
        <f>_xlfn.XLOOKUP(B57,'Ke hoach giảng dạy CNTT'!D:D,'Ke hoach giảng dạy CNTT'!C:C)</f>
        <v>1</v>
      </c>
      <c r="W57" s="3">
        <f>_xlfn.XLOOKUP(B57,[2]Sheet!$C$10:$C$107,[2]Sheet!$K$10:$K$107)</f>
        <v>0</v>
      </c>
      <c r="X57" s="3" t="str">
        <f t="shared" si="0"/>
        <v>Không</v>
      </c>
    </row>
    <row r="58" spans="1:24" s="2" customFormat="1" ht="30" customHeight="1" x14ac:dyDescent="0.3">
      <c r="A58" s="152">
        <v>4</v>
      </c>
      <c r="B58" s="75" t="s">
        <v>31</v>
      </c>
      <c r="C58" s="76" t="s">
        <v>232</v>
      </c>
      <c r="D58" s="76" t="s">
        <v>233</v>
      </c>
      <c r="E58" s="75">
        <v>3</v>
      </c>
      <c r="F58" s="75">
        <v>30</v>
      </c>
      <c r="G58" s="75">
        <v>30</v>
      </c>
      <c r="H58" s="75">
        <v>0</v>
      </c>
      <c r="I58" s="75">
        <v>0</v>
      </c>
      <c r="J58" s="75" t="s">
        <v>120</v>
      </c>
      <c r="K58" s="77" t="s">
        <v>121</v>
      </c>
      <c r="L58" s="76" t="s">
        <v>121</v>
      </c>
      <c r="M58" s="237" t="s">
        <v>225</v>
      </c>
      <c r="N58" s="76"/>
      <c r="O58" s="284"/>
      <c r="P58" s="129" t="s">
        <v>234</v>
      </c>
      <c r="Q58" s="130" t="s">
        <v>235</v>
      </c>
      <c r="R58" s="157">
        <v>2</v>
      </c>
      <c r="S58" s="194">
        <v>1</v>
      </c>
      <c r="U58" s="2">
        <f>_xlfn.XLOOKUP(B58,'Ke hoach giảng dạy CNTT'!D:D,'Ke hoach giảng dạy CNTT'!B:B)</f>
        <v>2</v>
      </c>
      <c r="V58" s="1">
        <f>_xlfn.XLOOKUP(B58,'Ke hoach giảng dạy CNTT'!D:D,'Ke hoach giảng dạy CNTT'!C:C)</f>
        <v>1</v>
      </c>
      <c r="W58" s="3">
        <f>_xlfn.XLOOKUP(B58,[2]Sheet!$C$10:$C$107,[2]Sheet!$K$10:$K$107)</f>
        <v>0</v>
      </c>
      <c r="X58" s="3" t="str">
        <f t="shared" si="0"/>
        <v>Không</v>
      </c>
    </row>
    <row r="59" spans="1:24" s="2" customFormat="1" ht="25.5" customHeight="1" x14ac:dyDescent="0.3">
      <c r="A59" s="152">
        <v>5</v>
      </c>
      <c r="B59" s="75" t="s">
        <v>37</v>
      </c>
      <c r="C59" s="76" t="s">
        <v>236</v>
      </c>
      <c r="D59" s="76" t="s">
        <v>237</v>
      </c>
      <c r="E59" s="75">
        <v>3</v>
      </c>
      <c r="F59" s="75">
        <v>30</v>
      </c>
      <c r="G59" s="75">
        <v>30</v>
      </c>
      <c r="H59" s="75">
        <v>0</v>
      </c>
      <c r="I59" s="75">
        <v>0</v>
      </c>
      <c r="J59" s="75" t="s">
        <v>120</v>
      </c>
      <c r="K59" s="77" t="s">
        <v>121</v>
      </c>
      <c r="L59" s="76" t="s">
        <v>238</v>
      </c>
      <c r="M59" s="237" t="s">
        <v>225</v>
      </c>
      <c r="N59" s="76"/>
      <c r="O59" s="284"/>
      <c r="P59" s="129" t="s">
        <v>129</v>
      </c>
      <c r="Q59" s="130" t="s">
        <v>130</v>
      </c>
      <c r="R59" s="157">
        <v>3</v>
      </c>
      <c r="S59" s="194">
        <v>1</v>
      </c>
      <c r="U59" s="2">
        <f>_xlfn.XLOOKUP(B59,'Ke hoach giảng dạy CNTT'!D:D,'Ke hoach giảng dạy CNTT'!B:B)</f>
        <v>3</v>
      </c>
      <c r="V59" s="1">
        <f>_xlfn.XLOOKUP(B59,'Ke hoach giảng dạy CNTT'!D:D,'Ke hoach giảng dạy CNTT'!C:C)</f>
        <v>1</v>
      </c>
      <c r="W59" s="3" t="str">
        <f>_xlfn.XLOOKUP(B59,[2]Sheet!$C$10:$C$107,[2]Sheet!$K$10:$K$107)</f>
        <v>[71ITBS10203]Cơ sở lập trình</v>
      </c>
      <c r="X59" s="3" t="str">
        <f t="shared" si="0"/>
        <v>[71ITBS10203]Cơ sở lập trình</v>
      </c>
    </row>
    <row r="60" spans="1:24" s="2" customFormat="1" ht="25.5" customHeight="1" x14ac:dyDescent="0.3">
      <c r="A60" s="152">
        <v>6</v>
      </c>
      <c r="B60" s="75" t="s">
        <v>607</v>
      </c>
      <c r="C60" s="76" t="s">
        <v>239</v>
      </c>
      <c r="D60" s="76" t="s">
        <v>240</v>
      </c>
      <c r="E60" s="75">
        <v>4</v>
      </c>
      <c r="F60" s="75">
        <v>45</v>
      </c>
      <c r="G60" s="75">
        <v>30</v>
      </c>
      <c r="H60" s="75">
        <v>0</v>
      </c>
      <c r="I60" s="75">
        <v>0</v>
      </c>
      <c r="J60" s="75" t="s">
        <v>120</v>
      </c>
      <c r="K60" s="77" t="s">
        <v>121</v>
      </c>
      <c r="L60" s="76" t="s">
        <v>241</v>
      </c>
      <c r="M60" s="237" t="s">
        <v>225</v>
      </c>
      <c r="N60" s="76"/>
      <c r="O60" s="284" t="s">
        <v>242</v>
      </c>
      <c r="P60" s="129" t="s">
        <v>129</v>
      </c>
      <c r="Q60" s="130" t="s">
        <v>130</v>
      </c>
      <c r="R60" s="157">
        <v>1</v>
      </c>
      <c r="S60" s="194">
        <v>2</v>
      </c>
      <c r="T60" s="3"/>
      <c r="U60" s="2">
        <f>_xlfn.XLOOKUP(B60,'Ke hoach giảng dạy CNTT'!D:D,'Ke hoach giảng dạy CNTT'!B:B)</f>
        <v>1</v>
      </c>
      <c r="V60" s="1">
        <f>_xlfn.XLOOKUP(B60,'Ke hoach giảng dạy CNTT'!D:D,'Ke hoach giảng dạy CNTT'!C:C)</f>
        <v>2</v>
      </c>
      <c r="W60" s="3" t="str">
        <f>_xlfn.XLOOKUP(B60,[2]Sheet!$C$10:$C$107,[2]Sheet!$K$10:$K$107)</f>
        <v>[71ITMA10104]Toán cao cấp và ứng dụng</v>
      </c>
      <c r="X60" s="3" t="str">
        <f t="shared" si="0"/>
        <v>[71ITMA10104]Toán cao cấp và ứng dụng</v>
      </c>
    </row>
    <row r="61" spans="1:24" s="2" customFormat="1" ht="25.5" customHeight="1" x14ac:dyDescent="0.3">
      <c r="A61" s="152">
        <v>7</v>
      </c>
      <c r="B61" s="75" t="s">
        <v>32</v>
      </c>
      <c r="C61" s="76" t="s">
        <v>243</v>
      </c>
      <c r="D61" s="76" t="s">
        <v>244</v>
      </c>
      <c r="E61" s="75">
        <v>3</v>
      </c>
      <c r="F61" s="75">
        <v>30</v>
      </c>
      <c r="G61" s="75">
        <v>30</v>
      </c>
      <c r="H61" s="75">
        <v>0</v>
      </c>
      <c r="I61" s="75">
        <v>0</v>
      </c>
      <c r="J61" s="75" t="s">
        <v>120</v>
      </c>
      <c r="K61" s="77" t="s">
        <v>121</v>
      </c>
      <c r="L61" s="76" t="s">
        <v>238</v>
      </c>
      <c r="M61" s="237" t="s">
        <v>225</v>
      </c>
      <c r="N61" s="76"/>
      <c r="O61" s="284"/>
      <c r="P61" s="129" t="s">
        <v>245</v>
      </c>
      <c r="Q61" s="130" t="s">
        <v>246</v>
      </c>
      <c r="R61" s="157">
        <v>2</v>
      </c>
      <c r="S61" s="194">
        <v>1</v>
      </c>
      <c r="U61" s="2">
        <f>_xlfn.XLOOKUP(B61,'Ke hoach giảng dạy CNTT'!D:D,'Ke hoach giảng dạy CNTT'!B:B)</f>
        <v>2</v>
      </c>
      <c r="V61" s="1">
        <f>_xlfn.XLOOKUP(B61,'Ke hoach giảng dạy CNTT'!D:D,'Ke hoach giảng dạy CNTT'!C:C)</f>
        <v>1</v>
      </c>
      <c r="W61" s="3" t="str">
        <f>_xlfn.XLOOKUP(B61,[2]Sheet!$C$10:$C$107,[2]Sheet!$K$10:$K$107)</f>
        <v>[71ITBS10203]Cơ sở lập trình</v>
      </c>
      <c r="X61" s="3" t="str">
        <f t="shared" si="0"/>
        <v>[71ITBS10203]Cơ sở lập trình</v>
      </c>
    </row>
    <row r="62" spans="1:24" customFormat="1" ht="19.95" customHeight="1" x14ac:dyDescent="0.3">
      <c r="A62" s="238" t="s">
        <v>365</v>
      </c>
      <c r="B62" s="239"/>
      <c r="C62" s="239"/>
      <c r="D62" s="239"/>
      <c r="E62" s="242">
        <f>SUM(E63:E66)+9</f>
        <v>21</v>
      </c>
      <c r="F62" s="242" t="s">
        <v>357</v>
      </c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W62" s="3">
        <f>_xlfn.XLOOKUP(B62,[2]Sheet!$C$10:$C$107,[2]Sheet!$K$10:$K$107)</f>
        <v>0</v>
      </c>
      <c r="X62" s="3" t="str">
        <f t="shared" si="0"/>
        <v>Không</v>
      </c>
    </row>
    <row r="63" spans="1:24" ht="27" customHeight="1" x14ac:dyDescent="0.3">
      <c r="A63" s="153">
        <v>1</v>
      </c>
      <c r="B63" s="79" t="s">
        <v>41</v>
      </c>
      <c r="C63" s="80" t="s">
        <v>247</v>
      </c>
      <c r="D63" s="80" t="s">
        <v>248</v>
      </c>
      <c r="E63" s="79">
        <v>3</v>
      </c>
      <c r="F63" s="79">
        <v>30</v>
      </c>
      <c r="G63" s="79">
        <v>30</v>
      </c>
      <c r="H63" s="79">
        <v>0</v>
      </c>
      <c r="I63" s="79">
        <v>0</v>
      </c>
      <c r="J63" s="79" t="s">
        <v>120</v>
      </c>
      <c r="K63" s="81" t="s">
        <v>121</v>
      </c>
      <c r="L63" s="148" t="s">
        <v>238</v>
      </c>
      <c r="M63" s="148" t="s">
        <v>249</v>
      </c>
      <c r="N63" s="148"/>
      <c r="O63" s="210"/>
      <c r="P63" s="132" t="s">
        <v>245</v>
      </c>
      <c r="Q63" s="133" t="s">
        <v>246</v>
      </c>
      <c r="R63" s="158">
        <v>1</v>
      </c>
      <c r="S63" s="195">
        <v>2</v>
      </c>
      <c r="U63" s="2">
        <f>_xlfn.XLOOKUP(B63,'Ke hoach giảng dạy CNTT'!D:D,'Ke hoach giảng dạy CNTT'!B:B)</f>
        <v>1</v>
      </c>
      <c r="V63" s="1">
        <f>_xlfn.XLOOKUP(B63,'Ke hoach giảng dạy CNTT'!D:D,'Ke hoach giảng dạy CNTT'!C:C)</f>
        <v>2</v>
      </c>
      <c r="W63" s="3" t="str">
        <f>_xlfn.XLOOKUP(B63,[2]Sheet!$C$10:$C$107,[2]Sheet!$K$10:$K$107)</f>
        <v>[71ITBS10203]Cơ sở lập trình</v>
      </c>
      <c r="X63" s="3" t="str">
        <f t="shared" si="0"/>
        <v>[71ITBS10203]Cơ sở lập trình</v>
      </c>
    </row>
    <row r="64" spans="1:24" s="2" customFormat="1" ht="27" customHeight="1" x14ac:dyDescent="0.3">
      <c r="A64" s="153">
        <v>2</v>
      </c>
      <c r="B64" s="79" t="s">
        <v>46</v>
      </c>
      <c r="C64" s="80" t="s">
        <v>250</v>
      </c>
      <c r="D64" s="80" t="s">
        <v>251</v>
      </c>
      <c r="E64" s="79">
        <v>3</v>
      </c>
      <c r="F64" s="79">
        <v>30</v>
      </c>
      <c r="G64" s="79">
        <v>30</v>
      </c>
      <c r="H64" s="79">
        <v>0</v>
      </c>
      <c r="I64" s="79">
        <v>0</v>
      </c>
      <c r="J64" s="79" t="s">
        <v>120</v>
      </c>
      <c r="K64" s="81" t="s">
        <v>121</v>
      </c>
      <c r="L64" s="148" t="s">
        <v>610</v>
      </c>
      <c r="M64" s="148" t="s">
        <v>249</v>
      </c>
      <c r="N64" s="148"/>
      <c r="O64" s="210"/>
      <c r="P64" s="132" t="s">
        <v>245</v>
      </c>
      <c r="Q64" s="133" t="s">
        <v>246</v>
      </c>
      <c r="R64" s="158">
        <v>2</v>
      </c>
      <c r="S64" s="195">
        <v>2</v>
      </c>
      <c r="U64" s="2">
        <f>_xlfn.XLOOKUP(B64,'Ke hoach giảng dạy CNTT'!D:D,'Ke hoach giảng dạy CNTT'!B:B)</f>
        <v>2</v>
      </c>
      <c r="V64" s="1">
        <f>_xlfn.XLOOKUP(B64,'Ke hoach giảng dạy CNTT'!D:D,'Ke hoach giảng dạy CNTT'!C:C)</f>
        <v>2</v>
      </c>
      <c r="W64" s="3" t="str">
        <f>_xlfn.XLOOKUP(B64,[2]Sheet!$C$10:$C$107,[2]Sheet!$K$10:$K$107)</f>
        <v>[71ITBS10103]Nhập môn công nghệ thông tin</v>
      </c>
      <c r="X64" s="3" t="str">
        <f t="shared" si="0"/>
        <v>[71ITBS10103]Nhập môn công nghệ thông tin</v>
      </c>
    </row>
    <row r="65" spans="1:24" s="2" customFormat="1" ht="27" customHeight="1" x14ac:dyDescent="0.3">
      <c r="A65" s="153">
        <v>3</v>
      </c>
      <c r="B65" s="79" t="s">
        <v>42</v>
      </c>
      <c r="C65" s="80" t="s">
        <v>252</v>
      </c>
      <c r="D65" s="80" t="s">
        <v>253</v>
      </c>
      <c r="E65" s="79">
        <v>3</v>
      </c>
      <c r="F65" s="79">
        <v>30</v>
      </c>
      <c r="G65" s="79">
        <v>30</v>
      </c>
      <c r="H65" s="79">
        <v>0</v>
      </c>
      <c r="I65" s="79">
        <v>0</v>
      </c>
      <c r="J65" s="79" t="s">
        <v>120</v>
      </c>
      <c r="K65" s="81" t="s">
        <v>121</v>
      </c>
      <c r="L65" s="148" t="s">
        <v>238</v>
      </c>
      <c r="M65" s="148" t="s">
        <v>249</v>
      </c>
      <c r="N65" s="148"/>
      <c r="O65" s="210"/>
      <c r="P65" s="132" t="s">
        <v>245</v>
      </c>
      <c r="Q65" s="133" t="s">
        <v>246</v>
      </c>
      <c r="R65" s="158">
        <v>1</v>
      </c>
      <c r="S65" s="195">
        <v>2</v>
      </c>
      <c r="U65" s="2">
        <f>_xlfn.XLOOKUP(B65,'Ke hoach giảng dạy CNTT'!D:D,'Ke hoach giảng dạy CNTT'!B:B)</f>
        <v>1</v>
      </c>
      <c r="V65" s="1">
        <f>_xlfn.XLOOKUP(B65,'Ke hoach giảng dạy CNTT'!D:D,'Ke hoach giảng dạy CNTT'!C:C)</f>
        <v>2</v>
      </c>
      <c r="W65" s="3" t="str">
        <f>_xlfn.XLOOKUP(B65,[2]Sheet!$C$10:$C$107,[2]Sheet!$K$10:$K$107)</f>
        <v>[71ITBS10203]Cơ sở lập trình</v>
      </c>
      <c r="X65" s="3" t="str">
        <f t="shared" si="0"/>
        <v>[71ITBS10203]Cơ sở lập trình</v>
      </c>
    </row>
    <row r="66" spans="1:24" s="2" customFormat="1" ht="27" customHeight="1" x14ac:dyDescent="0.3">
      <c r="A66" s="153">
        <v>4</v>
      </c>
      <c r="B66" s="79" t="s">
        <v>56</v>
      </c>
      <c r="C66" s="80" t="s">
        <v>254</v>
      </c>
      <c r="D66" s="80" t="s">
        <v>255</v>
      </c>
      <c r="E66" s="79">
        <v>3</v>
      </c>
      <c r="F66" s="79">
        <v>30</v>
      </c>
      <c r="G66" s="79">
        <v>30</v>
      </c>
      <c r="H66" s="79">
        <v>0</v>
      </c>
      <c r="I66" s="79">
        <v>0</v>
      </c>
      <c r="J66" s="79" t="s">
        <v>120</v>
      </c>
      <c r="K66" s="79" t="s">
        <v>121</v>
      </c>
      <c r="L66" s="148" t="s">
        <v>238</v>
      </c>
      <c r="M66" s="148" t="s">
        <v>249</v>
      </c>
      <c r="N66" s="148"/>
      <c r="O66" s="210"/>
      <c r="P66" s="132" t="s">
        <v>129</v>
      </c>
      <c r="Q66" s="133" t="s">
        <v>130</v>
      </c>
      <c r="R66" s="158">
        <v>3</v>
      </c>
      <c r="S66" s="195">
        <v>2</v>
      </c>
      <c r="U66" s="2">
        <f>_xlfn.XLOOKUP(B66,'Ke hoach giảng dạy CNTT'!D:D,'Ke hoach giảng dạy CNTT'!B:B)</f>
        <v>3</v>
      </c>
      <c r="V66" s="1">
        <f>_xlfn.XLOOKUP(B66,'Ke hoach giảng dạy CNTT'!D:D,'Ke hoach giảng dạy CNTT'!C:C)</f>
        <v>2</v>
      </c>
      <c r="W66" s="3" t="str">
        <f>_xlfn.XLOOKUP(B66,[2]Sheet!$C$10:$C$107,[2]Sheet!$K$10:$K$107)</f>
        <v>[71ITBS10203]Cơ sở lập trình</v>
      </c>
      <c r="X66" s="3" t="str">
        <f t="shared" si="0"/>
        <v>[71ITBS10203]Cơ sở lập trình</v>
      </c>
    </row>
    <row r="67" spans="1:24" ht="27" customHeight="1" x14ac:dyDescent="0.3">
      <c r="A67" s="153">
        <v>5</v>
      </c>
      <c r="B67" s="79" t="s">
        <v>66</v>
      </c>
      <c r="C67" s="80" t="s">
        <v>256</v>
      </c>
      <c r="D67" s="80" t="s">
        <v>257</v>
      </c>
      <c r="E67" s="79">
        <v>3</v>
      </c>
      <c r="F67" s="79">
        <v>30</v>
      </c>
      <c r="G67" s="79">
        <v>30</v>
      </c>
      <c r="H67" s="79">
        <v>0</v>
      </c>
      <c r="I67" s="79">
        <v>0</v>
      </c>
      <c r="J67" s="79" t="s">
        <v>258</v>
      </c>
      <c r="K67" s="79" t="s">
        <v>121</v>
      </c>
      <c r="L67" s="148" t="s">
        <v>121</v>
      </c>
      <c r="M67" s="148" t="s">
        <v>249</v>
      </c>
      <c r="N67" s="148"/>
      <c r="O67" s="210" t="s">
        <v>259</v>
      </c>
      <c r="P67" s="132" t="s">
        <v>129</v>
      </c>
      <c r="Q67" s="133" t="s">
        <v>130</v>
      </c>
      <c r="R67" s="158">
        <v>3</v>
      </c>
      <c r="S67" s="195">
        <v>2</v>
      </c>
      <c r="T67" s="2"/>
      <c r="U67" s="2">
        <f>_xlfn.XLOOKUP(B67,'Ke hoach giảng dạy CNTT'!D:D,'Ke hoach giảng dạy CNTT'!B:B)</f>
        <v>3</v>
      </c>
      <c r="V67" s="1">
        <f>_xlfn.XLOOKUP(B67,'Ke hoach giảng dạy CNTT'!D:D,'Ke hoach giảng dạy CNTT'!C:C)</f>
        <v>2</v>
      </c>
      <c r="W67" s="3">
        <f>_xlfn.XLOOKUP(B67,[2]Sheet!$C$10:$C$107,[2]Sheet!$K$10:$K$107)</f>
        <v>0</v>
      </c>
      <c r="X67" s="3" t="str">
        <f t="shared" si="0"/>
        <v>Không</v>
      </c>
    </row>
    <row r="68" spans="1:24" s="2" customFormat="1" ht="27" customHeight="1" x14ac:dyDescent="0.3">
      <c r="A68" s="153">
        <v>6</v>
      </c>
      <c r="B68" s="79" t="s">
        <v>50</v>
      </c>
      <c r="C68" s="80" t="s">
        <v>260</v>
      </c>
      <c r="D68" s="80" t="s">
        <v>261</v>
      </c>
      <c r="E68" s="79">
        <v>3</v>
      </c>
      <c r="F68" s="79">
        <v>30</v>
      </c>
      <c r="G68" s="79">
        <v>30</v>
      </c>
      <c r="H68" s="79">
        <v>0</v>
      </c>
      <c r="I68" s="79">
        <v>0</v>
      </c>
      <c r="J68" s="79" t="s">
        <v>258</v>
      </c>
      <c r="K68" s="81" t="s">
        <v>121</v>
      </c>
      <c r="L68" s="80" t="s">
        <v>611</v>
      </c>
      <c r="M68" s="148" t="s">
        <v>249</v>
      </c>
      <c r="N68" s="80"/>
      <c r="O68" s="144" t="s">
        <v>259</v>
      </c>
      <c r="P68" s="132" t="s">
        <v>129</v>
      </c>
      <c r="Q68" s="133" t="s">
        <v>130</v>
      </c>
      <c r="R68" s="158">
        <v>2</v>
      </c>
      <c r="S68" s="195">
        <v>2</v>
      </c>
      <c r="U68" s="2">
        <f>_xlfn.XLOOKUP(B68,'Ke hoach giảng dạy CNTT'!D:D,'Ke hoach giảng dạy CNTT'!B:B)</f>
        <v>2</v>
      </c>
      <c r="V68" s="1">
        <f>_xlfn.XLOOKUP(B68,'Ke hoach giảng dạy CNTT'!D:D,'Ke hoach giảng dạy CNTT'!C:C)</f>
        <v>2</v>
      </c>
      <c r="W68" s="3" t="str">
        <f>_xlfn.XLOOKUP(B68,[2]Sheet!$C$10:$C$107,[2]Sheet!$K$10:$K$107)</f>
        <v>[71ITMA10403]Toán rời rạc</v>
      </c>
      <c r="X68" s="3" t="str">
        <f t="shared" si="0"/>
        <v>[71ITMA10403]Toán rời rạc</v>
      </c>
    </row>
    <row r="69" spans="1:24" s="2" customFormat="1" ht="27" customHeight="1" x14ac:dyDescent="0.3">
      <c r="A69" s="153">
        <v>7</v>
      </c>
      <c r="B69" s="79" t="s">
        <v>53</v>
      </c>
      <c r="C69" s="80" t="s">
        <v>262</v>
      </c>
      <c r="D69" s="80" t="s">
        <v>263</v>
      </c>
      <c r="E69" s="79">
        <v>3</v>
      </c>
      <c r="F69" s="79">
        <v>30</v>
      </c>
      <c r="G69" s="79">
        <v>30</v>
      </c>
      <c r="H69" s="79">
        <v>0</v>
      </c>
      <c r="I69" s="79">
        <v>0</v>
      </c>
      <c r="J69" s="79" t="s">
        <v>258</v>
      </c>
      <c r="K69" s="79" t="s">
        <v>121</v>
      </c>
      <c r="L69" s="148" t="s">
        <v>121</v>
      </c>
      <c r="M69" s="148" t="s">
        <v>249</v>
      </c>
      <c r="N69" s="148"/>
      <c r="O69" s="210" t="s">
        <v>264</v>
      </c>
      <c r="P69" s="132" t="s">
        <v>245</v>
      </c>
      <c r="Q69" s="133" t="s">
        <v>246</v>
      </c>
      <c r="R69" s="158">
        <v>2</v>
      </c>
      <c r="S69" s="195">
        <v>2</v>
      </c>
      <c r="U69" s="2">
        <f>_xlfn.XLOOKUP(B69,'Ke hoach giảng dạy CNTT'!D:D,'Ke hoach giảng dạy CNTT'!B:B)</f>
        <v>2</v>
      </c>
      <c r="V69" s="1">
        <f>_xlfn.XLOOKUP(B69,'Ke hoach giảng dạy CNTT'!D:D,'Ke hoach giảng dạy CNTT'!C:C)</f>
        <v>2</v>
      </c>
      <c r="W69" s="3">
        <f>_xlfn.XLOOKUP(B69,[2]Sheet!$C$10:$C$107,[2]Sheet!$K$10:$K$107)</f>
        <v>0</v>
      </c>
      <c r="X69" s="3" t="str">
        <f t="shared" si="0"/>
        <v>Không</v>
      </c>
    </row>
    <row r="70" spans="1:24" s="2" customFormat="1" ht="27" customHeight="1" x14ac:dyDescent="0.3">
      <c r="A70" s="153">
        <v>8</v>
      </c>
      <c r="B70" s="79" t="s">
        <v>64</v>
      </c>
      <c r="C70" s="80" t="s">
        <v>265</v>
      </c>
      <c r="D70" s="80" t="s">
        <v>266</v>
      </c>
      <c r="E70" s="79">
        <v>3</v>
      </c>
      <c r="F70" s="79">
        <v>30</v>
      </c>
      <c r="G70" s="79">
        <v>30</v>
      </c>
      <c r="H70" s="79">
        <v>0</v>
      </c>
      <c r="I70" s="79">
        <v>0</v>
      </c>
      <c r="J70" s="79" t="s">
        <v>258</v>
      </c>
      <c r="K70" s="81" t="s">
        <v>121</v>
      </c>
      <c r="L70" s="80" t="s">
        <v>121</v>
      </c>
      <c r="M70" s="148" t="s">
        <v>249</v>
      </c>
      <c r="N70" s="80"/>
      <c r="O70" s="144" t="s">
        <v>267</v>
      </c>
      <c r="P70" s="132" t="s">
        <v>234</v>
      </c>
      <c r="Q70" s="133" t="s">
        <v>235</v>
      </c>
      <c r="R70" s="158">
        <v>3</v>
      </c>
      <c r="S70" s="195">
        <v>2</v>
      </c>
      <c r="U70" s="2">
        <f>_xlfn.XLOOKUP(B70,'Ke hoach giảng dạy CNTT'!D:D,'Ke hoach giảng dạy CNTT'!B:B)</f>
        <v>3</v>
      </c>
      <c r="V70" s="1">
        <f>_xlfn.XLOOKUP(B70,'Ke hoach giảng dạy CNTT'!D:D,'Ke hoach giảng dạy CNTT'!C:C)</f>
        <v>2</v>
      </c>
      <c r="W70" s="3">
        <f>_xlfn.XLOOKUP(B70,[2]Sheet!$C$10:$C$107,[2]Sheet!$K$10:$K$107)</f>
        <v>0</v>
      </c>
      <c r="X70" s="3" t="str">
        <f t="shared" si="0"/>
        <v>Không</v>
      </c>
    </row>
    <row r="71" spans="1:24" s="2" customFormat="1" ht="27" customHeight="1" x14ac:dyDescent="0.3">
      <c r="A71" s="153">
        <v>9</v>
      </c>
      <c r="B71" s="79" t="s">
        <v>48</v>
      </c>
      <c r="C71" s="80" t="s">
        <v>268</v>
      </c>
      <c r="D71" s="80" t="s">
        <v>269</v>
      </c>
      <c r="E71" s="79">
        <v>3</v>
      </c>
      <c r="F71" s="79">
        <v>30</v>
      </c>
      <c r="G71" s="79">
        <v>30</v>
      </c>
      <c r="H71" s="79">
        <v>0</v>
      </c>
      <c r="I71" s="79">
        <v>0</v>
      </c>
      <c r="J71" s="79" t="s">
        <v>258</v>
      </c>
      <c r="K71" s="79" t="s">
        <v>121</v>
      </c>
      <c r="L71" s="148" t="s">
        <v>610</v>
      </c>
      <c r="M71" s="148" t="s">
        <v>249</v>
      </c>
      <c r="N71" s="148"/>
      <c r="O71" s="210" t="s">
        <v>267</v>
      </c>
      <c r="P71" s="132" t="s">
        <v>226</v>
      </c>
      <c r="Q71" s="133" t="s">
        <v>227</v>
      </c>
      <c r="R71" s="158">
        <v>2</v>
      </c>
      <c r="S71" s="195">
        <v>2</v>
      </c>
      <c r="U71" s="2">
        <f>_xlfn.XLOOKUP(B71,'Ke hoach giảng dạy CNTT'!D:D,'Ke hoach giảng dạy CNTT'!B:B)</f>
        <v>2</v>
      </c>
      <c r="V71" s="1">
        <f>_xlfn.XLOOKUP(B71,'Ke hoach giảng dạy CNTT'!D:D,'Ke hoach giảng dạy CNTT'!C:C)</f>
        <v>2</v>
      </c>
      <c r="W71" s="3" t="str">
        <f>_xlfn.XLOOKUP(B71,[2]Sheet!$C$10:$C$107,[2]Sheet!$K$10:$K$107)</f>
        <v>[71ITBS10103]Nhập môn công nghệ thông tin</v>
      </c>
      <c r="X71" s="3" t="str">
        <f t="shared" si="0"/>
        <v>[71ITBS10103]Nhập môn công nghệ thông tin</v>
      </c>
    </row>
    <row r="72" spans="1:24" ht="27" customHeight="1" x14ac:dyDescent="0.3">
      <c r="A72" s="153">
        <v>10</v>
      </c>
      <c r="B72" s="79" t="s">
        <v>49</v>
      </c>
      <c r="C72" s="80" t="s">
        <v>270</v>
      </c>
      <c r="D72" s="80" t="s">
        <v>271</v>
      </c>
      <c r="E72" s="79">
        <v>3</v>
      </c>
      <c r="F72" s="79">
        <v>30</v>
      </c>
      <c r="G72" s="79">
        <v>30</v>
      </c>
      <c r="H72" s="79">
        <v>0</v>
      </c>
      <c r="I72" s="79">
        <v>0</v>
      </c>
      <c r="J72" s="79" t="s">
        <v>258</v>
      </c>
      <c r="K72" s="81" t="s">
        <v>121</v>
      </c>
      <c r="L72" s="80" t="s">
        <v>121</v>
      </c>
      <c r="M72" s="148" t="s">
        <v>249</v>
      </c>
      <c r="N72" s="80"/>
      <c r="O72" s="144" t="s">
        <v>272</v>
      </c>
      <c r="P72" s="132" t="s">
        <v>234</v>
      </c>
      <c r="Q72" s="133" t="s">
        <v>235</v>
      </c>
      <c r="R72" s="158">
        <v>2</v>
      </c>
      <c r="S72" s="195">
        <v>2</v>
      </c>
      <c r="U72" s="2">
        <f>_xlfn.XLOOKUP(B72,'Ke hoach giảng dạy CNTT'!D:D,'Ke hoach giảng dạy CNTT'!B:B)</f>
        <v>2</v>
      </c>
      <c r="V72" s="1">
        <f>_xlfn.XLOOKUP(B72,'Ke hoach giảng dạy CNTT'!D:D,'Ke hoach giảng dạy CNTT'!C:C)</f>
        <v>2</v>
      </c>
      <c r="W72" s="3">
        <f>_xlfn.XLOOKUP(B72,[2]Sheet!$C$10:$C$107,[2]Sheet!$K$10:$K$107)</f>
        <v>0</v>
      </c>
      <c r="X72" s="3" t="str">
        <f t="shared" si="0"/>
        <v>Không</v>
      </c>
    </row>
    <row r="73" spans="1:24" ht="27" customHeight="1" x14ac:dyDescent="0.3">
      <c r="A73" s="153">
        <v>11</v>
      </c>
      <c r="B73" s="79" t="s">
        <v>51</v>
      </c>
      <c r="C73" s="80" t="s">
        <v>273</v>
      </c>
      <c r="D73" s="80" t="s">
        <v>274</v>
      </c>
      <c r="E73" s="79">
        <v>3</v>
      </c>
      <c r="F73" s="79">
        <v>30</v>
      </c>
      <c r="G73" s="79">
        <v>30</v>
      </c>
      <c r="H73" s="79">
        <v>0</v>
      </c>
      <c r="I73" s="79">
        <v>0</v>
      </c>
      <c r="J73" s="79" t="s">
        <v>258</v>
      </c>
      <c r="K73" s="81" t="s">
        <v>121</v>
      </c>
      <c r="L73" s="80" t="s">
        <v>610</v>
      </c>
      <c r="M73" s="148" t="s">
        <v>249</v>
      </c>
      <c r="N73" s="80"/>
      <c r="O73" s="144" t="s">
        <v>275</v>
      </c>
      <c r="P73" s="132" t="s">
        <v>226</v>
      </c>
      <c r="Q73" s="133" t="s">
        <v>227</v>
      </c>
      <c r="R73" s="158">
        <v>2</v>
      </c>
      <c r="S73" s="195">
        <v>2</v>
      </c>
      <c r="U73" s="2">
        <f>_xlfn.XLOOKUP(B73,'Ke hoach giảng dạy CNTT'!D:D,'Ke hoach giảng dạy CNTT'!B:B)</f>
        <v>2</v>
      </c>
      <c r="V73" s="1">
        <f>_xlfn.XLOOKUP(B73,'Ke hoach giảng dạy CNTT'!D:D,'Ke hoach giảng dạy CNTT'!C:C)</f>
        <v>2</v>
      </c>
      <c r="W73" s="3" t="str">
        <f>_xlfn.XLOOKUP(B73,[2]Sheet!$C$10:$C$107,[2]Sheet!$K$10:$K$107)</f>
        <v>[71ITBS10103]Nhập môn công nghệ thông tin</v>
      </c>
      <c r="X73" s="3" t="str">
        <f t="shared" si="0"/>
        <v>[71ITBS10103]Nhập môn công nghệ thông tin</v>
      </c>
    </row>
    <row r="74" spans="1:24" ht="27" customHeight="1" x14ac:dyDescent="0.3">
      <c r="A74" s="153">
        <v>12</v>
      </c>
      <c r="B74" s="79" t="s">
        <v>65</v>
      </c>
      <c r="C74" s="80" t="s">
        <v>276</v>
      </c>
      <c r="D74" s="80" t="s">
        <v>277</v>
      </c>
      <c r="E74" s="79">
        <v>3</v>
      </c>
      <c r="F74" s="79">
        <v>30</v>
      </c>
      <c r="G74" s="79">
        <v>30</v>
      </c>
      <c r="H74" s="79">
        <v>0</v>
      </c>
      <c r="I74" s="79">
        <v>0</v>
      </c>
      <c r="J74" s="79" t="s">
        <v>258</v>
      </c>
      <c r="K74" s="81" t="s">
        <v>121</v>
      </c>
      <c r="L74" s="80" t="s">
        <v>121</v>
      </c>
      <c r="M74" s="148" t="s">
        <v>249</v>
      </c>
      <c r="N74" s="80"/>
      <c r="O74" s="144" t="s">
        <v>278</v>
      </c>
      <c r="P74" s="132" t="s">
        <v>245</v>
      </c>
      <c r="Q74" s="133" t="s">
        <v>246</v>
      </c>
      <c r="R74" s="158">
        <v>3</v>
      </c>
      <c r="S74" s="195">
        <v>2</v>
      </c>
      <c r="U74" s="2">
        <f>_xlfn.XLOOKUP(B74,'Ke hoach giảng dạy CNTT'!D:D,'Ke hoach giảng dạy CNTT'!B:B)</f>
        <v>3</v>
      </c>
      <c r="V74" s="1">
        <f>_xlfn.XLOOKUP(B74,'Ke hoach giảng dạy CNTT'!D:D,'Ke hoach giảng dạy CNTT'!C:C)</f>
        <v>2</v>
      </c>
      <c r="W74" s="3">
        <f>_xlfn.XLOOKUP(B74,[2]Sheet!$C$10:$C$107,[2]Sheet!$K$10:$K$107)</f>
        <v>0</v>
      </c>
      <c r="X74" s="3" t="str">
        <f t="shared" si="0"/>
        <v>Không</v>
      </c>
    </row>
    <row r="75" spans="1:24" customFormat="1" ht="21.6" customHeight="1" x14ac:dyDescent="0.3">
      <c r="A75" s="238" t="s">
        <v>366</v>
      </c>
      <c r="B75" s="239"/>
      <c r="C75" s="239"/>
      <c r="D75" s="239"/>
      <c r="E75" s="242">
        <f>E76+E97</f>
        <v>27</v>
      </c>
      <c r="F75" s="242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W75" s="3">
        <f>_xlfn.XLOOKUP(B75,[2]Sheet!$C$10:$C$107,[2]Sheet!$K$10:$K$107)</f>
        <v>0</v>
      </c>
      <c r="X75" s="3" t="str">
        <f t="shared" si="0"/>
        <v>Không</v>
      </c>
    </row>
    <row r="76" spans="1:24" customFormat="1" ht="21.6" customHeight="1" x14ac:dyDescent="0.3">
      <c r="A76" s="243" t="s">
        <v>367</v>
      </c>
      <c r="B76" s="244"/>
      <c r="C76" s="244"/>
      <c r="D76" s="244"/>
      <c r="E76" s="245">
        <f>SUM(E77:E82)</f>
        <v>18</v>
      </c>
      <c r="F76" s="245" t="s">
        <v>357</v>
      </c>
      <c r="G76" s="244"/>
      <c r="H76" s="244"/>
      <c r="I76" s="244"/>
      <c r="J76" s="244"/>
      <c r="K76" s="244"/>
      <c r="L76" s="244"/>
      <c r="M76" s="244"/>
      <c r="N76" s="244"/>
      <c r="O76" s="244"/>
      <c r="P76" s="244"/>
      <c r="Q76" s="244"/>
      <c r="R76" s="244"/>
      <c r="S76" s="244"/>
      <c r="W76" s="3">
        <f>_xlfn.XLOOKUP(B76,[2]Sheet!$C$10:$C$107,[2]Sheet!$K$10:$K$107)</f>
        <v>0</v>
      </c>
      <c r="X76" s="3" t="str">
        <f t="shared" si="0"/>
        <v>Không</v>
      </c>
    </row>
    <row r="77" spans="1:24" ht="27.6" x14ac:dyDescent="0.3">
      <c r="A77" s="154">
        <v>1</v>
      </c>
      <c r="B77" s="82" t="s">
        <v>58</v>
      </c>
      <c r="C77" s="83" t="s">
        <v>279</v>
      </c>
      <c r="D77" s="83" t="s">
        <v>280</v>
      </c>
      <c r="E77" s="82">
        <v>3</v>
      </c>
      <c r="F77" s="82">
        <v>30</v>
      </c>
      <c r="G77" s="82">
        <v>30</v>
      </c>
      <c r="H77" s="82">
        <v>0</v>
      </c>
      <c r="I77" s="82">
        <v>0</v>
      </c>
      <c r="J77" s="82" t="s">
        <v>120</v>
      </c>
      <c r="K77" s="84" t="s">
        <v>121</v>
      </c>
      <c r="L77" s="83" t="s">
        <v>610</v>
      </c>
      <c r="M77" s="149" t="s">
        <v>281</v>
      </c>
      <c r="N77" s="83" t="s">
        <v>282</v>
      </c>
      <c r="O77" s="145"/>
      <c r="P77" s="134" t="s">
        <v>245</v>
      </c>
      <c r="Q77" s="135" t="s">
        <v>246</v>
      </c>
      <c r="R77" s="159">
        <v>3</v>
      </c>
      <c r="S77" s="196">
        <v>2</v>
      </c>
      <c r="U77" s="2">
        <f>_xlfn.XLOOKUP(B77,'Ke hoach giảng dạy CNTT'!D:D,'Ke hoach giảng dạy CNTT'!B:B)</f>
        <v>3</v>
      </c>
      <c r="V77" s="1">
        <f>_xlfn.XLOOKUP(B77,'Ke hoach giảng dạy CNTT'!D:D,'Ke hoach giảng dạy CNTT'!C:C)</f>
        <v>2</v>
      </c>
      <c r="W77" s="3" t="str">
        <f>_xlfn.XLOOKUP(B77,[2]Sheet!$C$10:$C$107,[2]Sheet!$K$10:$K$107)</f>
        <v>[71ITBS10103]Nhập môn công nghệ thông tin</v>
      </c>
      <c r="X77" s="3" t="str">
        <f t="shared" ref="X77:X113" si="1">IF(W77=0,"Không",W77)</f>
        <v>[71ITBS10103]Nhập môn công nghệ thông tin</v>
      </c>
    </row>
    <row r="78" spans="1:24" ht="41.4" x14ac:dyDescent="0.3">
      <c r="A78" s="154">
        <v>2</v>
      </c>
      <c r="B78" s="82" t="s">
        <v>70</v>
      </c>
      <c r="C78" s="83" t="s">
        <v>283</v>
      </c>
      <c r="D78" s="83" t="s">
        <v>284</v>
      </c>
      <c r="E78" s="82">
        <v>3</v>
      </c>
      <c r="F78" s="82">
        <v>30</v>
      </c>
      <c r="G78" s="82">
        <v>30</v>
      </c>
      <c r="H78" s="82">
        <v>0</v>
      </c>
      <c r="I78" s="82">
        <v>0</v>
      </c>
      <c r="J78" s="82" t="s">
        <v>120</v>
      </c>
      <c r="K78" s="84" t="s">
        <v>121</v>
      </c>
      <c r="L78" s="83" t="s">
        <v>612</v>
      </c>
      <c r="M78" s="149" t="s">
        <v>281</v>
      </c>
      <c r="N78" s="83" t="s">
        <v>282</v>
      </c>
      <c r="O78" s="145"/>
      <c r="P78" s="134" t="s">
        <v>245</v>
      </c>
      <c r="Q78" s="135" t="s">
        <v>246</v>
      </c>
      <c r="R78" s="159">
        <v>1</v>
      </c>
      <c r="S78" s="196">
        <v>3</v>
      </c>
      <c r="U78" s="2">
        <f>_xlfn.XLOOKUP(B78,'Ke hoach giảng dạy CNTT'!D:D,'Ke hoach giảng dạy CNTT'!B:B)</f>
        <v>1</v>
      </c>
      <c r="V78" s="1">
        <f>_xlfn.XLOOKUP(B78,'Ke hoach giảng dạy CNTT'!D:D,'Ke hoach giảng dạy CNTT'!C:C)</f>
        <v>3</v>
      </c>
      <c r="W78" s="3" t="str">
        <f>_xlfn.XLOOKUP(B78,[2]Sheet!$C$10:$C$107,[2]Sheet!$K$10:$K$107)</f>
        <v>[71ITSE41003]Nhập môn công nghệ phần mềm</v>
      </c>
      <c r="X78" s="3" t="str">
        <f t="shared" si="1"/>
        <v>[71ITSE41003]Nhập môn công nghệ phần mềm</v>
      </c>
    </row>
    <row r="79" spans="1:24" ht="41.4" x14ac:dyDescent="0.3">
      <c r="A79" s="154">
        <v>3</v>
      </c>
      <c r="B79" s="82" t="s">
        <v>71</v>
      </c>
      <c r="C79" s="83" t="s">
        <v>285</v>
      </c>
      <c r="D79" s="83" t="s">
        <v>286</v>
      </c>
      <c r="E79" s="82">
        <v>3</v>
      </c>
      <c r="F79" s="82">
        <v>30</v>
      </c>
      <c r="G79" s="82">
        <v>30</v>
      </c>
      <c r="H79" s="82">
        <v>0</v>
      </c>
      <c r="I79" s="82">
        <v>0</v>
      </c>
      <c r="J79" s="82" t="s">
        <v>120</v>
      </c>
      <c r="K79" s="84" t="s">
        <v>121</v>
      </c>
      <c r="L79" s="83" t="s">
        <v>612</v>
      </c>
      <c r="M79" s="149" t="s">
        <v>281</v>
      </c>
      <c r="N79" s="83" t="s">
        <v>282</v>
      </c>
      <c r="O79" s="145"/>
      <c r="P79" s="134" t="s">
        <v>245</v>
      </c>
      <c r="Q79" s="135" t="s">
        <v>246</v>
      </c>
      <c r="R79" s="159">
        <v>1</v>
      </c>
      <c r="S79" s="196">
        <v>3</v>
      </c>
      <c r="U79" s="2">
        <f>_xlfn.XLOOKUP(B79,'Ke hoach giảng dạy CNTT'!D:D,'Ke hoach giảng dạy CNTT'!B:B)</f>
        <v>1</v>
      </c>
      <c r="V79" s="1">
        <f>_xlfn.XLOOKUP(B79,'Ke hoach giảng dạy CNTT'!D:D,'Ke hoach giảng dạy CNTT'!C:C)</f>
        <v>3</v>
      </c>
      <c r="W79" s="3" t="str">
        <f>_xlfn.XLOOKUP(B79,[2]Sheet!$C$10:$C$107,[2]Sheet!$K$10:$K$107)</f>
        <v>[71ITSE41003]Nhập môn công nghệ phần mềm</v>
      </c>
      <c r="X79" s="3" t="str">
        <f t="shared" si="1"/>
        <v>[71ITSE41003]Nhập môn công nghệ phần mềm</v>
      </c>
    </row>
    <row r="80" spans="1:24" ht="32.4" customHeight="1" x14ac:dyDescent="0.3">
      <c r="A80" s="154">
        <v>4</v>
      </c>
      <c r="B80" s="82" t="s">
        <v>82</v>
      </c>
      <c r="C80" s="83" t="s">
        <v>287</v>
      </c>
      <c r="D80" s="83" t="s">
        <v>288</v>
      </c>
      <c r="E80" s="82">
        <v>3</v>
      </c>
      <c r="F80" s="82">
        <v>30</v>
      </c>
      <c r="G80" s="82">
        <v>30</v>
      </c>
      <c r="H80" s="82">
        <v>0</v>
      </c>
      <c r="I80" s="82">
        <v>0</v>
      </c>
      <c r="J80" s="82" t="s">
        <v>120</v>
      </c>
      <c r="K80" s="84" t="s">
        <v>121</v>
      </c>
      <c r="L80" s="83" t="s">
        <v>289</v>
      </c>
      <c r="M80" s="149" t="s">
        <v>281</v>
      </c>
      <c r="N80" s="83" t="s">
        <v>282</v>
      </c>
      <c r="O80" s="145"/>
      <c r="P80" s="134" t="s">
        <v>245</v>
      </c>
      <c r="Q80" s="135" t="s">
        <v>246</v>
      </c>
      <c r="R80" s="159">
        <v>2</v>
      </c>
      <c r="S80" s="196">
        <v>3</v>
      </c>
      <c r="U80" s="2">
        <f>_xlfn.XLOOKUP(B80,'Ke hoach giảng dạy CNTT'!D:D,'Ke hoach giảng dạy CNTT'!B:B)</f>
        <v>2</v>
      </c>
      <c r="V80" s="1">
        <f>_xlfn.XLOOKUP(B80,'Ke hoach giảng dạy CNTT'!D:D,'Ke hoach giảng dạy CNTT'!C:C)</f>
        <v>3</v>
      </c>
      <c r="W80" s="3" t="str">
        <f>_xlfn.XLOOKUP(B80,[2]Sheet!$C$10:$C$107,[2]Sheet!$K$10:$K$107)</f>
        <v>[71ITSE41103]Kỹ thuật lấy yêu cầu</v>
      </c>
      <c r="X80" s="3" t="str">
        <f t="shared" si="1"/>
        <v>[71ITSE41103]Kỹ thuật lấy yêu cầu</v>
      </c>
    </row>
    <row r="81" spans="1:24" ht="27.6" x14ac:dyDescent="0.3">
      <c r="A81" s="154">
        <v>5</v>
      </c>
      <c r="B81" s="82" t="s">
        <v>81</v>
      </c>
      <c r="C81" s="83" t="s">
        <v>290</v>
      </c>
      <c r="D81" s="83" t="s">
        <v>291</v>
      </c>
      <c r="E81" s="82">
        <v>3</v>
      </c>
      <c r="F81" s="82">
        <v>30</v>
      </c>
      <c r="G81" s="82">
        <v>30</v>
      </c>
      <c r="H81" s="82">
        <v>0</v>
      </c>
      <c r="I81" s="82">
        <v>0</v>
      </c>
      <c r="J81" s="82" t="s">
        <v>120</v>
      </c>
      <c r="K81" s="84" t="s">
        <v>121</v>
      </c>
      <c r="L81" s="83" t="s">
        <v>613</v>
      </c>
      <c r="M81" s="149" t="s">
        <v>281</v>
      </c>
      <c r="N81" s="83" t="s">
        <v>282</v>
      </c>
      <c r="O81" s="145"/>
      <c r="P81" s="134" t="s">
        <v>245</v>
      </c>
      <c r="Q81" s="135" t="s">
        <v>246</v>
      </c>
      <c r="R81" s="159">
        <v>2</v>
      </c>
      <c r="S81" s="196">
        <v>3</v>
      </c>
      <c r="U81" s="2">
        <f>_xlfn.XLOOKUP(B81,'Ke hoach giảng dạy CNTT'!D:D,'Ke hoach giảng dạy CNTT'!B:B)</f>
        <v>2</v>
      </c>
      <c r="V81" s="1">
        <f>_xlfn.XLOOKUP(B81,'Ke hoach giảng dạy CNTT'!D:D,'Ke hoach giảng dạy CNTT'!C:C)</f>
        <v>3</v>
      </c>
      <c r="W81" s="3" t="str">
        <f>_xlfn.XLOOKUP(B81,[2]Sheet!$C$10:$C$107,[2]Sheet!$K$10:$K$107)</f>
        <v>[71ITSE30503]Lập trình ứng dụng web</v>
      </c>
      <c r="X81" s="3" t="str">
        <f t="shared" si="1"/>
        <v>[71ITSE30503]Lập trình ứng dụng web</v>
      </c>
    </row>
    <row r="82" spans="1:24" ht="27.6" x14ac:dyDescent="0.3">
      <c r="A82" s="154">
        <v>6</v>
      </c>
      <c r="B82" s="82" t="s">
        <v>83</v>
      </c>
      <c r="C82" s="83" t="s">
        <v>292</v>
      </c>
      <c r="D82" s="83" t="s">
        <v>293</v>
      </c>
      <c r="E82" s="82">
        <v>3</v>
      </c>
      <c r="F82" s="82">
        <v>30</v>
      </c>
      <c r="G82" s="82">
        <v>30</v>
      </c>
      <c r="H82" s="82">
        <v>0</v>
      </c>
      <c r="I82" s="82">
        <v>0</v>
      </c>
      <c r="J82" s="82" t="s">
        <v>120</v>
      </c>
      <c r="K82" s="84" t="s">
        <v>121</v>
      </c>
      <c r="L82" s="83" t="s">
        <v>289</v>
      </c>
      <c r="M82" s="149" t="s">
        <v>281</v>
      </c>
      <c r="N82" s="83" t="s">
        <v>282</v>
      </c>
      <c r="O82" s="145"/>
      <c r="P82" s="134" t="s">
        <v>245</v>
      </c>
      <c r="Q82" s="135" t="s">
        <v>246</v>
      </c>
      <c r="R82" s="159">
        <v>2</v>
      </c>
      <c r="S82" s="196">
        <v>3</v>
      </c>
      <c r="U82" s="2">
        <f>_xlfn.XLOOKUP(B82,'Ke hoach giảng dạy CNTT'!D:D,'Ke hoach giảng dạy CNTT'!B:B)</f>
        <v>2</v>
      </c>
      <c r="V82" s="1">
        <f>_xlfn.XLOOKUP(B82,'Ke hoach giảng dạy CNTT'!D:D,'Ke hoach giảng dạy CNTT'!C:C)</f>
        <v>3</v>
      </c>
      <c r="W82" s="3" t="str">
        <f>_xlfn.XLOOKUP(B82,[2]Sheet!$C$10:$C$107,[2]Sheet!$K$10:$K$107)</f>
        <v>[71ITSE41103]Kỹ thuật lấy yêu cầu</v>
      </c>
      <c r="X82" s="3" t="str">
        <f t="shared" si="1"/>
        <v>[71ITSE41103]Kỹ thuật lấy yêu cầu</v>
      </c>
    </row>
    <row r="83" spans="1:24" customFormat="1" ht="21.6" customHeight="1" x14ac:dyDescent="0.3">
      <c r="A83" s="243" t="s">
        <v>368</v>
      </c>
      <c r="B83" s="244"/>
      <c r="C83" s="244"/>
      <c r="D83" s="244"/>
      <c r="E83" s="245">
        <f>SUM(E84:E89)</f>
        <v>18</v>
      </c>
      <c r="F83" s="246" t="s">
        <v>357</v>
      </c>
      <c r="G83" s="244"/>
      <c r="H83" s="244"/>
      <c r="I83" s="244"/>
      <c r="J83" s="244"/>
      <c r="K83" s="244"/>
      <c r="L83" s="244"/>
      <c r="M83" s="244"/>
      <c r="N83" s="244"/>
      <c r="O83" s="244"/>
      <c r="P83" s="244"/>
      <c r="Q83" s="244"/>
      <c r="R83" s="244"/>
      <c r="S83" s="244"/>
      <c r="W83" s="3">
        <f>_xlfn.XLOOKUP(B83,[2]Sheet!$C$10:$C$107,[2]Sheet!$K$10:$K$107)</f>
        <v>0</v>
      </c>
      <c r="X83" s="3" t="str">
        <f t="shared" si="1"/>
        <v>Không</v>
      </c>
    </row>
    <row r="84" spans="1:24" ht="27.6" x14ac:dyDescent="0.3">
      <c r="A84" s="155">
        <v>1</v>
      </c>
      <c r="B84" s="85" t="s">
        <v>60</v>
      </c>
      <c r="C84" s="86" t="s">
        <v>294</v>
      </c>
      <c r="D84" s="86" t="s">
        <v>295</v>
      </c>
      <c r="E84" s="85">
        <v>3</v>
      </c>
      <c r="F84" s="85">
        <v>30</v>
      </c>
      <c r="G84" s="85">
        <v>30</v>
      </c>
      <c r="H84" s="85">
        <v>0</v>
      </c>
      <c r="I84" s="85">
        <v>0</v>
      </c>
      <c r="J84" s="85" t="s">
        <v>120</v>
      </c>
      <c r="K84" s="85" t="s">
        <v>121</v>
      </c>
      <c r="L84" s="86" t="s">
        <v>121</v>
      </c>
      <c r="M84" s="150" t="s">
        <v>281</v>
      </c>
      <c r="N84" s="86" t="s">
        <v>296</v>
      </c>
      <c r="O84" s="146"/>
      <c r="P84" s="136" t="s">
        <v>129</v>
      </c>
      <c r="Q84" s="137" t="s">
        <v>130</v>
      </c>
      <c r="R84" s="160">
        <v>3</v>
      </c>
      <c r="S84" s="197">
        <v>2</v>
      </c>
      <c r="U84" s="2">
        <f>_xlfn.XLOOKUP(B84,'Ke hoach giảng dạy CNTT'!D:D,'Ke hoach giảng dạy CNTT'!B:B)</f>
        <v>3</v>
      </c>
      <c r="V84" s="1">
        <f>_xlfn.XLOOKUP(B84,'Ke hoach giảng dạy CNTT'!D:D,'Ke hoach giảng dạy CNTT'!C:C)</f>
        <v>2</v>
      </c>
      <c r="W84" s="3">
        <f>_xlfn.XLOOKUP(B84,[2]Sheet!$C$10:$C$107,[2]Sheet!$K$10:$K$107)</f>
        <v>0</v>
      </c>
      <c r="X84" s="3" t="str">
        <f t="shared" si="1"/>
        <v>Không</v>
      </c>
    </row>
    <row r="85" spans="1:24" ht="27.6" x14ac:dyDescent="0.3">
      <c r="A85" s="155">
        <v>2</v>
      </c>
      <c r="B85" s="85" t="s">
        <v>72</v>
      </c>
      <c r="C85" s="86" t="s">
        <v>297</v>
      </c>
      <c r="D85" s="86" t="s">
        <v>298</v>
      </c>
      <c r="E85" s="85">
        <v>3</v>
      </c>
      <c r="F85" s="85">
        <v>30</v>
      </c>
      <c r="G85" s="85">
        <v>30</v>
      </c>
      <c r="H85" s="85">
        <v>0</v>
      </c>
      <c r="I85" s="85">
        <v>0</v>
      </c>
      <c r="J85" s="85" t="s">
        <v>120</v>
      </c>
      <c r="K85" s="85" t="s">
        <v>121</v>
      </c>
      <c r="L85" s="86" t="s">
        <v>299</v>
      </c>
      <c r="M85" s="150" t="s">
        <v>281</v>
      </c>
      <c r="N85" s="86" t="s">
        <v>296</v>
      </c>
      <c r="O85" s="146"/>
      <c r="P85" s="136" t="s">
        <v>129</v>
      </c>
      <c r="Q85" s="137" t="s">
        <v>130</v>
      </c>
      <c r="R85" s="160">
        <v>1</v>
      </c>
      <c r="S85" s="197">
        <v>3</v>
      </c>
      <c r="U85" s="2">
        <f>_xlfn.XLOOKUP(B85,'Ke hoach giảng dạy CNTT'!D:D,'Ke hoach giảng dạy CNTT'!B:B)</f>
        <v>1</v>
      </c>
      <c r="V85" s="1">
        <f>_xlfn.XLOOKUP(B85,'Ke hoach giảng dạy CNTT'!D:D,'Ke hoach giảng dạy CNTT'!C:C)</f>
        <v>3</v>
      </c>
      <c r="W85" s="3" t="str">
        <f>_xlfn.XLOOKUP(B85,[2]Sheet!$C$10:$C$107,[2]Sheet!$K$10:$K$107)</f>
        <v>[71ITDS40203]Xác suất thống kê ứng dụng</v>
      </c>
      <c r="X85" s="3" t="str">
        <f t="shared" si="1"/>
        <v>[71ITDS40203]Xác suất thống kê ứng dụng</v>
      </c>
    </row>
    <row r="86" spans="1:24" ht="27.6" x14ac:dyDescent="0.3">
      <c r="A86" s="155">
        <v>3</v>
      </c>
      <c r="B86" s="85" t="s">
        <v>73</v>
      </c>
      <c r="C86" s="86" t="s">
        <v>300</v>
      </c>
      <c r="D86" s="86" t="s">
        <v>301</v>
      </c>
      <c r="E86" s="85">
        <v>3</v>
      </c>
      <c r="F86" s="85">
        <v>30</v>
      </c>
      <c r="G86" s="85">
        <v>30</v>
      </c>
      <c r="H86" s="85">
        <v>0</v>
      </c>
      <c r="I86" s="85">
        <v>0</v>
      </c>
      <c r="J86" s="85" t="s">
        <v>120</v>
      </c>
      <c r="K86" s="85" t="s">
        <v>121</v>
      </c>
      <c r="L86" s="86" t="s">
        <v>121</v>
      </c>
      <c r="M86" s="150" t="s">
        <v>281</v>
      </c>
      <c r="N86" s="86" t="s">
        <v>296</v>
      </c>
      <c r="O86" s="146"/>
      <c r="P86" s="136" t="s">
        <v>129</v>
      </c>
      <c r="Q86" s="137" t="s">
        <v>130</v>
      </c>
      <c r="R86" s="160">
        <v>1</v>
      </c>
      <c r="S86" s="197">
        <v>3</v>
      </c>
      <c r="U86" s="2">
        <f>_xlfn.XLOOKUP(B86,'Ke hoach giảng dạy CNTT'!D:D,'Ke hoach giảng dạy CNTT'!B:B)</f>
        <v>1</v>
      </c>
      <c r="V86" s="1">
        <f>_xlfn.XLOOKUP(B86,'Ke hoach giảng dạy CNTT'!D:D,'Ke hoach giảng dạy CNTT'!C:C)</f>
        <v>3</v>
      </c>
      <c r="W86" s="3">
        <f>_xlfn.XLOOKUP(B86,[2]Sheet!$C$10:$C$107,[2]Sheet!$K$10:$K$107)</f>
        <v>0</v>
      </c>
      <c r="X86" s="3" t="str">
        <f t="shared" si="1"/>
        <v>Không</v>
      </c>
    </row>
    <row r="87" spans="1:24" ht="27.6" x14ac:dyDescent="0.3">
      <c r="A87" s="155">
        <v>4</v>
      </c>
      <c r="B87" s="85" t="s">
        <v>84</v>
      </c>
      <c r="C87" s="86" t="s">
        <v>302</v>
      </c>
      <c r="D87" s="86" t="s">
        <v>303</v>
      </c>
      <c r="E87" s="85">
        <v>3</v>
      </c>
      <c r="F87" s="85">
        <v>30</v>
      </c>
      <c r="G87" s="85">
        <v>30</v>
      </c>
      <c r="H87" s="85">
        <v>0</v>
      </c>
      <c r="I87" s="85">
        <v>0</v>
      </c>
      <c r="J87" s="85" t="s">
        <v>120</v>
      </c>
      <c r="K87" s="85" t="s">
        <v>121</v>
      </c>
      <c r="L87" s="86" t="s">
        <v>121</v>
      </c>
      <c r="M87" s="150" t="s">
        <v>281</v>
      </c>
      <c r="N87" s="86" t="s">
        <v>296</v>
      </c>
      <c r="O87" s="146"/>
      <c r="P87" s="136" t="s">
        <v>129</v>
      </c>
      <c r="Q87" s="137" t="s">
        <v>130</v>
      </c>
      <c r="R87" s="160">
        <v>2</v>
      </c>
      <c r="S87" s="197">
        <v>3</v>
      </c>
      <c r="U87" s="2">
        <f>_xlfn.XLOOKUP(B87,'Ke hoach giảng dạy CNTT'!D:D,'Ke hoach giảng dạy CNTT'!B:B)</f>
        <v>2</v>
      </c>
      <c r="V87" s="1">
        <f>_xlfn.XLOOKUP(B87,'Ke hoach giảng dạy CNTT'!D:D,'Ke hoach giảng dạy CNTT'!C:C)</f>
        <v>3</v>
      </c>
      <c r="W87" s="3">
        <f>_xlfn.XLOOKUP(B87,[2]Sheet!$C$10:$C$107,[2]Sheet!$K$10:$K$107)</f>
        <v>0</v>
      </c>
      <c r="X87" s="3" t="str">
        <f t="shared" si="1"/>
        <v>Không</v>
      </c>
    </row>
    <row r="88" spans="1:24" ht="27.6" x14ac:dyDescent="0.3">
      <c r="A88" s="155">
        <v>5</v>
      </c>
      <c r="B88" s="85" t="s">
        <v>85</v>
      </c>
      <c r="C88" s="86" t="s">
        <v>304</v>
      </c>
      <c r="D88" s="86" t="s">
        <v>305</v>
      </c>
      <c r="E88" s="85">
        <v>3</v>
      </c>
      <c r="F88" s="85">
        <v>30</v>
      </c>
      <c r="G88" s="85">
        <v>30</v>
      </c>
      <c r="H88" s="85">
        <v>0</v>
      </c>
      <c r="I88" s="85">
        <v>0</v>
      </c>
      <c r="J88" s="85" t="s">
        <v>120</v>
      </c>
      <c r="K88" s="85" t="s">
        <v>121</v>
      </c>
      <c r="L88" s="86" t="s">
        <v>306</v>
      </c>
      <c r="M88" s="150" t="s">
        <v>281</v>
      </c>
      <c r="N88" s="86" t="s">
        <v>296</v>
      </c>
      <c r="O88" s="146"/>
      <c r="P88" s="136" t="s">
        <v>129</v>
      </c>
      <c r="Q88" s="137" t="s">
        <v>130</v>
      </c>
      <c r="R88" s="160">
        <v>2</v>
      </c>
      <c r="S88" s="197">
        <v>3</v>
      </c>
      <c r="U88" s="2">
        <f>_xlfn.XLOOKUP(B88,'Ke hoach giảng dạy CNTT'!D:D,'Ke hoach giảng dạy CNTT'!B:B)</f>
        <v>2</v>
      </c>
      <c r="V88" s="1">
        <f>_xlfn.XLOOKUP(B88,'Ke hoach giảng dạy CNTT'!D:D,'Ke hoach giảng dạy CNTT'!C:C)</f>
        <v>3</v>
      </c>
      <c r="W88" s="3" t="str">
        <f>_xlfn.XLOOKUP(B88,[2]Sheet!$C$10:$C$107,[2]Sheet!$K$10:$K$107)</f>
        <v>[71ITSE30303]Cấu trúc dữ liệu và giải thuật</v>
      </c>
      <c r="X88" s="3" t="str">
        <f t="shared" si="1"/>
        <v>[71ITSE30303]Cấu trúc dữ liệu và giải thuật</v>
      </c>
    </row>
    <row r="89" spans="1:24" ht="27.6" x14ac:dyDescent="0.3">
      <c r="A89" s="155">
        <v>6</v>
      </c>
      <c r="B89" s="85" t="s">
        <v>86</v>
      </c>
      <c r="C89" s="86" t="s">
        <v>307</v>
      </c>
      <c r="D89" s="86" t="s">
        <v>308</v>
      </c>
      <c r="E89" s="85">
        <v>3</v>
      </c>
      <c r="F89" s="85">
        <v>30</v>
      </c>
      <c r="G89" s="85">
        <v>30</v>
      </c>
      <c r="H89" s="85">
        <v>0</v>
      </c>
      <c r="I89" s="85">
        <v>0</v>
      </c>
      <c r="J89" s="85" t="s">
        <v>120</v>
      </c>
      <c r="K89" s="85" t="s">
        <v>121</v>
      </c>
      <c r="L89" s="86" t="s">
        <v>309</v>
      </c>
      <c r="M89" s="150" t="s">
        <v>281</v>
      </c>
      <c r="N89" s="86" t="s">
        <v>296</v>
      </c>
      <c r="O89" s="146"/>
      <c r="P89" s="136" t="s">
        <v>129</v>
      </c>
      <c r="Q89" s="137" t="s">
        <v>130</v>
      </c>
      <c r="R89" s="160">
        <v>2</v>
      </c>
      <c r="S89" s="197">
        <v>3</v>
      </c>
      <c r="U89" s="2">
        <f>_xlfn.XLOOKUP(B89,'Ke hoach giảng dạy CNTT'!D:D,'Ke hoach giảng dạy CNTT'!B:B)</f>
        <v>2</v>
      </c>
      <c r="V89" s="1">
        <f>_xlfn.XLOOKUP(B89,'Ke hoach giảng dạy CNTT'!D:D,'Ke hoach giảng dạy CNTT'!C:C)</f>
        <v>3</v>
      </c>
      <c r="W89" s="3" t="str">
        <f>_xlfn.XLOOKUP(B89,[2]Sheet!$C$10:$C$107,[2]Sheet!$K$10:$K$107)</f>
        <v>[71ITIS30103]Cơ sở dữ liệu</v>
      </c>
      <c r="X89" s="3" t="str">
        <f t="shared" si="1"/>
        <v>[71ITIS30103]Cơ sở dữ liệu</v>
      </c>
    </row>
    <row r="90" spans="1:24" customFormat="1" ht="21.6" customHeight="1" x14ac:dyDescent="0.3">
      <c r="A90" s="243" t="s">
        <v>369</v>
      </c>
      <c r="B90" s="244"/>
      <c r="C90" s="244"/>
      <c r="D90" s="244"/>
      <c r="E90" s="245">
        <f>SUM(E91:E96)</f>
        <v>18</v>
      </c>
      <c r="F90" s="246" t="s">
        <v>357</v>
      </c>
      <c r="G90" s="244"/>
      <c r="H90" s="244"/>
      <c r="I90" s="244"/>
      <c r="J90" s="244"/>
      <c r="K90" s="244"/>
      <c r="L90" s="244"/>
      <c r="M90" s="244"/>
      <c r="N90" s="244"/>
      <c r="O90" s="244"/>
      <c r="P90" s="244"/>
      <c r="Q90" s="244"/>
      <c r="R90" s="244"/>
      <c r="S90" s="244"/>
      <c r="W90" s="3">
        <f>_xlfn.XLOOKUP(B90,[2]Sheet!$C$10:$C$107,[2]Sheet!$K$10:$K$107)</f>
        <v>0</v>
      </c>
      <c r="X90" s="3" t="str">
        <f t="shared" si="1"/>
        <v>Không</v>
      </c>
    </row>
    <row r="91" spans="1:24" ht="27.6" x14ac:dyDescent="0.3">
      <c r="A91" s="156">
        <v>1</v>
      </c>
      <c r="B91" s="87" t="s">
        <v>62</v>
      </c>
      <c r="C91" s="88" t="s">
        <v>310</v>
      </c>
      <c r="D91" s="88" t="s">
        <v>311</v>
      </c>
      <c r="E91" s="87">
        <v>3</v>
      </c>
      <c r="F91" s="87">
        <v>30</v>
      </c>
      <c r="G91" s="87">
        <v>30</v>
      </c>
      <c r="H91" s="87">
        <v>0</v>
      </c>
      <c r="I91" s="87">
        <v>0</v>
      </c>
      <c r="J91" s="87" t="s">
        <v>120</v>
      </c>
      <c r="K91" s="89" t="s">
        <v>121</v>
      </c>
      <c r="L91" s="88" t="s">
        <v>122</v>
      </c>
      <c r="M91" s="151" t="s">
        <v>281</v>
      </c>
      <c r="N91" s="88" t="s">
        <v>312</v>
      </c>
      <c r="O91" s="147"/>
      <c r="P91" s="138" t="s">
        <v>129</v>
      </c>
      <c r="Q91" s="139" t="s">
        <v>130</v>
      </c>
      <c r="R91" s="161">
        <v>3</v>
      </c>
      <c r="S91" s="198">
        <v>2</v>
      </c>
      <c r="U91" s="2">
        <f>_xlfn.XLOOKUP(B91,'Ke hoach giảng dạy CNTT'!D:D,'Ke hoach giảng dạy CNTT'!B:B)</f>
        <v>3</v>
      </c>
      <c r="V91" s="1">
        <f>_xlfn.XLOOKUP(B91,'Ke hoach giảng dạy CNTT'!D:D,'Ke hoach giảng dạy CNTT'!C:C)</f>
        <v>2</v>
      </c>
      <c r="W91" s="3">
        <f>_xlfn.XLOOKUP(B91,[2]Sheet!$C$10:$C$107,[2]Sheet!$K$10:$K$107)</f>
        <v>0</v>
      </c>
      <c r="X91" s="3" t="str">
        <f t="shared" si="1"/>
        <v>Không</v>
      </c>
    </row>
    <row r="92" spans="1:24" ht="27.6" x14ac:dyDescent="0.3">
      <c r="A92" s="156">
        <v>2</v>
      </c>
      <c r="B92" s="87" t="s">
        <v>74</v>
      </c>
      <c r="C92" s="88" t="s">
        <v>313</v>
      </c>
      <c r="D92" s="88" t="s">
        <v>314</v>
      </c>
      <c r="E92" s="87">
        <v>3</v>
      </c>
      <c r="F92" s="87">
        <v>30</v>
      </c>
      <c r="G92" s="87">
        <v>30</v>
      </c>
      <c r="H92" s="87">
        <v>0</v>
      </c>
      <c r="I92" s="87">
        <v>0</v>
      </c>
      <c r="J92" s="87" t="s">
        <v>120</v>
      </c>
      <c r="K92" s="89" t="s">
        <v>121</v>
      </c>
      <c r="L92" s="88" t="s">
        <v>299</v>
      </c>
      <c r="M92" s="151" t="s">
        <v>281</v>
      </c>
      <c r="N92" s="88" t="s">
        <v>312</v>
      </c>
      <c r="O92" s="147"/>
      <c r="P92" s="138" t="s">
        <v>129</v>
      </c>
      <c r="Q92" s="139" t="s">
        <v>130</v>
      </c>
      <c r="R92" s="161">
        <v>1</v>
      </c>
      <c r="S92" s="198">
        <v>3</v>
      </c>
      <c r="U92" s="2">
        <f>_xlfn.XLOOKUP(B92,'Ke hoach giảng dạy CNTT'!D:D,'Ke hoach giảng dạy CNTT'!B:B)</f>
        <v>1</v>
      </c>
      <c r="V92" s="1">
        <f>_xlfn.XLOOKUP(B92,'Ke hoach giảng dạy CNTT'!D:D,'Ke hoach giảng dạy CNTT'!C:C)</f>
        <v>3</v>
      </c>
      <c r="W92" s="3" t="str">
        <f>_xlfn.XLOOKUP(B92,[2]Sheet!$C$10:$C$107,[2]Sheet!$K$10:$K$107)</f>
        <v>[71ITDS40203]Xác suất thống kê ứng dụng</v>
      </c>
      <c r="X92" s="3" t="str">
        <f t="shared" si="1"/>
        <v>[71ITDS40203]Xác suất thống kê ứng dụng</v>
      </c>
    </row>
    <row r="93" spans="1:24" ht="27.6" x14ac:dyDescent="0.3">
      <c r="A93" s="156">
        <v>3</v>
      </c>
      <c r="B93" s="87" t="s">
        <v>75</v>
      </c>
      <c r="C93" s="88" t="s">
        <v>315</v>
      </c>
      <c r="D93" s="88" t="s">
        <v>316</v>
      </c>
      <c r="E93" s="87">
        <v>3</v>
      </c>
      <c r="F93" s="87">
        <v>30</v>
      </c>
      <c r="G93" s="87">
        <v>30</v>
      </c>
      <c r="H93" s="87">
        <v>0</v>
      </c>
      <c r="I93" s="87">
        <v>0</v>
      </c>
      <c r="J93" s="87" t="s">
        <v>120</v>
      </c>
      <c r="K93" s="89" t="s">
        <v>121</v>
      </c>
      <c r="L93" s="88" t="s">
        <v>299</v>
      </c>
      <c r="M93" s="151" t="s">
        <v>281</v>
      </c>
      <c r="N93" s="88" t="s">
        <v>312</v>
      </c>
      <c r="O93" s="147"/>
      <c r="P93" s="138" t="s">
        <v>129</v>
      </c>
      <c r="Q93" s="139" t="s">
        <v>130</v>
      </c>
      <c r="R93" s="161">
        <v>1</v>
      </c>
      <c r="S93" s="198">
        <v>3</v>
      </c>
      <c r="U93" s="2">
        <f>_xlfn.XLOOKUP(B93,'Ke hoach giảng dạy CNTT'!D:D,'Ke hoach giảng dạy CNTT'!B:B)</f>
        <v>1</v>
      </c>
      <c r="V93" s="1">
        <f>_xlfn.XLOOKUP(B93,'Ke hoach giảng dạy CNTT'!D:D,'Ke hoach giảng dạy CNTT'!C:C)</f>
        <v>3</v>
      </c>
      <c r="W93" s="3" t="str">
        <f>_xlfn.XLOOKUP(B93,[2]Sheet!$C$10:$C$107,[2]Sheet!$K$10:$K$107)</f>
        <v>[71ITDS40203]Xác suất thống kê ứng dụng</v>
      </c>
      <c r="X93" s="3" t="str">
        <f t="shared" si="1"/>
        <v>[71ITDS40203]Xác suất thống kê ứng dụng</v>
      </c>
    </row>
    <row r="94" spans="1:24" ht="27.6" x14ac:dyDescent="0.3">
      <c r="A94" s="156">
        <v>4</v>
      </c>
      <c r="B94" s="87" t="s">
        <v>87</v>
      </c>
      <c r="C94" s="88" t="s">
        <v>317</v>
      </c>
      <c r="D94" s="88" t="s">
        <v>318</v>
      </c>
      <c r="E94" s="87">
        <v>3</v>
      </c>
      <c r="F94" s="87">
        <v>30</v>
      </c>
      <c r="G94" s="87">
        <v>30</v>
      </c>
      <c r="H94" s="87">
        <v>0</v>
      </c>
      <c r="I94" s="87">
        <v>0</v>
      </c>
      <c r="J94" s="87" t="s">
        <v>120</v>
      </c>
      <c r="K94" s="87" t="s">
        <v>121</v>
      </c>
      <c r="L94" s="88" t="s">
        <v>319</v>
      </c>
      <c r="M94" s="151" t="s">
        <v>281</v>
      </c>
      <c r="N94" s="88" t="s">
        <v>312</v>
      </c>
      <c r="O94" s="147"/>
      <c r="P94" s="138" t="s">
        <v>129</v>
      </c>
      <c r="Q94" s="139" t="s">
        <v>130</v>
      </c>
      <c r="R94" s="161">
        <v>2</v>
      </c>
      <c r="S94" s="198">
        <v>3</v>
      </c>
      <c r="U94" s="2">
        <f>_xlfn.XLOOKUP(B94,'Ke hoach giảng dạy CNTT'!D:D,'Ke hoach giảng dạy CNTT'!B:B)</f>
        <v>2</v>
      </c>
      <c r="V94" s="1">
        <f>_xlfn.XLOOKUP(B94,'Ke hoach giảng dạy CNTT'!D:D,'Ke hoach giảng dạy CNTT'!C:C)</f>
        <v>3</v>
      </c>
      <c r="W94" s="3" t="str">
        <f>_xlfn.XLOOKUP(B94,[2]Sheet!$C$10:$C$107,[2]Sheet!$K$10:$K$107)</f>
        <v>[71ITAI41203]Học máy và ứng dụng</v>
      </c>
      <c r="X94" s="3" t="str">
        <f t="shared" si="1"/>
        <v>[71ITAI41203]Học máy và ứng dụng</v>
      </c>
    </row>
    <row r="95" spans="1:24" ht="27.6" x14ac:dyDescent="0.3">
      <c r="A95" s="156">
        <v>5</v>
      </c>
      <c r="B95" s="87" t="s">
        <v>88</v>
      </c>
      <c r="C95" s="88" t="s">
        <v>320</v>
      </c>
      <c r="D95" s="88" t="s">
        <v>321</v>
      </c>
      <c r="E95" s="87">
        <v>3</v>
      </c>
      <c r="F95" s="87">
        <v>30</v>
      </c>
      <c r="G95" s="87">
        <v>30</v>
      </c>
      <c r="H95" s="87">
        <v>0</v>
      </c>
      <c r="I95" s="87">
        <v>0</v>
      </c>
      <c r="J95" s="87" t="s">
        <v>120</v>
      </c>
      <c r="K95" s="89" t="s">
        <v>121</v>
      </c>
      <c r="L95" s="88" t="s">
        <v>322</v>
      </c>
      <c r="M95" s="151" t="s">
        <v>281</v>
      </c>
      <c r="N95" s="88" t="s">
        <v>312</v>
      </c>
      <c r="O95" s="147"/>
      <c r="P95" s="138" t="s">
        <v>129</v>
      </c>
      <c r="Q95" s="139" t="s">
        <v>130</v>
      </c>
      <c r="R95" s="161">
        <v>2</v>
      </c>
      <c r="S95" s="198">
        <v>3</v>
      </c>
      <c r="T95" s="2"/>
      <c r="U95" s="2">
        <f>_xlfn.XLOOKUP(B95,'Ke hoach giảng dạy CNTT'!D:D,'Ke hoach giảng dạy CNTT'!B:B)</f>
        <v>2</v>
      </c>
      <c r="V95" s="1">
        <f>_xlfn.XLOOKUP(B95,'Ke hoach giảng dạy CNTT'!D:D,'Ke hoach giảng dạy CNTT'!C:C)</f>
        <v>3</v>
      </c>
      <c r="W95" s="3" t="str">
        <f>_xlfn.XLOOKUP(B95,[2]Sheet!$C$10:$C$107,[2]Sheet!$K$10:$K$107)</f>
        <v>[71ITAI40503]Trí tuệ nhân tạo ứng dụng</v>
      </c>
      <c r="X95" s="3" t="str">
        <f t="shared" si="1"/>
        <v>[71ITAI40503]Trí tuệ nhân tạo ứng dụng</v>
      </c>
    </row>
    <row r="96" spans="1:24" s="2" customFormat="1" ht="27.6" x14ac:dyDescent="0.3">
      <c r="A96" s="156">
        <v>6</v>
      </c>
      <c r="B96" s="87" t="s">
        <v>89</v>
      </c>
      <c r="C96" s="88" t="s">
        <v>323</v>
      </c>
      <c r="D96" s="88" t="s">
        <v>324</v>
      </c>
      <c r="E96" s="87">
        <v>3</v>
      </c>
      <c r="F96" s="87">
        <v>30</v>
      </c>
      <c r="G96" s="87">
        <v>30</v>
      </c>
      <c r="H96" s="87">
        <v>0</v>
      </c>
      <c r="I96" s="87">
        <v>0</v>
      </c>
      <c r="J96" s="87" t="s">
        <v>120</v>
      </c>
      <c r="K96" s="89" t="s">
        <v>121</v>
      </c>
      <c r="L96" s="88" t="s">
        <v>122</v>
      </c>
      <c r="M96" s="151" t="s">
        <v>281</v>
      </c>
      <c r="N96" s="88" t="s">
        <v>312</v>
      </c>
      <c r="O96" s="147"/>
      <c r="P96" s="138" t="s">
        <v>129</v>
      </c>
      <c r="Q96" s="139" t="s">
        <v>130</v>
      </c>
      <c r="R96" s="161">
        <v>2</v>
      </c>
      <c r="S96" s="198">
        <v>3</v>
      </c>
      <c r="U96" s="2">
        <f>_xlfn.XLOOKUP(B96,'Ke hoach giảng dạy CNTT'!D:D,'Ke hoach giảng dạy CNTT'!B:B)</f>
        <v>2</v>
      </c>
      <c r="V96" s="1">
        <f>_xlfn.XLOOKUP(B96,'Ke hoach giảng dạy CNTT'!D:D,'Ke hoach giảng dạy CNTT'!C:C)</f>
        <v>3</v>
      </c>
      <c r="W96" s="3">
        <f>_xlfn.XLOOKUP(B96,[2]Sheet!$C$10:$C$107,[2]Sheet!$K$10:$K$107)</f>
        <v>0</v>
      </c>
      <c r="X96" s="3" t="str">
        <f t="shared" si="1"/>
        <v>Không</v>
      </c>
    </row>
    <row r="97" spans="1:25" customFormat="1" ht="21.6" customHeight="1" x14ac:dyDescent="0.3">
      <c r="A97" s="243" t="s">
        <v>370</v>
      </c>
      <c r="B97" s="244"/>
      <c r="C97" s="244"/>
      <c r="D97" s="244"/>
      <c r="E97" s="246">
        <v>9</v>
      </c>
      <c r="F97" s="246" t="s">
        <v>357</v>
      </c>
      <c r="G97" s="244"/>
      <c r="H97" s="244"/>
      <c r="I97" s="244"/>
      <c r="J97" s="244"/>
      <c r="K97" s="244"/>
      <c r="L97" s="244"/>
      <c r="M97" s="244"/>
      <c r="N97" s="244"/>
      <c r="O97" s="244"/>
      <c r="P97" s="244"/>
      <c r="Q97" s="244"/>
      <c r="R97" s="244"/>
      <c r="S97" s="244"/>
      <c r="W97" s="3">
        <f>_xlfn.XLOOKUP(B97,[2]Sheet!$C$10:$C$107,[2]Sheet!$K$10:$K$107)</f>
        <v>0</v>
      </c>
      <c r="X97" s="3" t="str">
        <f t="shared" si="1"/>
        <v>Không</v>
      </c>
    </row>
    <row r="98" spans="1:25" ht="28.8" x14ac:dyDescent="0.3">
      <c r="A98" s="171">
        <v>2</v>
      </c>
      <c r="B98" s="172" t="s">
        <v>77</v>
      </c>
      <c r="C98" s="182" t="s">
        <v>344</v>
      </c>
      <c r="D98" s="182" t="s">
        <v>345</v>
      </c>
      <c r="E98" s="173">
        <v>3</v>
      </c>
      <c r="F98" s="172">
        <v>30</v>
      </c>
      <c r="G98" s="172">
        <v>30</v>
      </c>
      <c r="H98" s="172">
        <v>0</v>
      </c>
      <c r="I98" s="172">
        <v>0</v>
      </c>
      <c r="J98" s="172" t="s">
        <v>327</v>
      </c>
      <c r="K98" s="172" t="s">
        <v>121</v>
      </c>
      <c r="L98" s="179" t="s">
        <v>238</v>
      </c>
      <c r="M98" s="174" t="s">
        <v>281</v>
      </c>
      <c r="N98" s="174" t="s">
        <v>329</v>
      </c>
      <c r="O98" s="179"/>
      <c r="P98" s="179" t="s">
        <v>245</v>
      </c>
      <c r="Q98" s="191" t="s">
        <v>246</v>
      </c>
      <c r="R98" s="287">
        <v>3</v>
      </c>
      <c r="S98" s="208">
        <v>2</v>
      </c>
      <c r="T98" s="2"/>
      <c r="U98" s="2">
        <f>_xlfn.XLOOKUP(B98,'Ke hoach giảng dạy CNTT'!D:D,'Ke hoach giảng dạy CNTT'!B:B)</f>
        <v>1</v>
      </c>
      <c r="V98" s="1">
        <f>_xlfn.XLOOKUP(B98,'Ke hoach giảng dạy CNTT'!D:D,'Ke hoach giảng dạy CNTT'!C:C)</f>
        <v>3</v>
      </c>
      <c r="W98" s="3" t="str">
        <f>_xlfn.XLOOKUP(B98,[2]Sheet!$C$10:$C$107,[2]Sheet!$K$10:$K$107)</f>
        <v>[71ITBS10203]Cơ sở lập trình</v>
      </c>
      <c r="X98" s="3" t="str">
        <f t="shared" ref="X98:X103" si="2">IF(W98=0,"Không",W98)</f>
        <v>[71ITBS10203]Cơ sở lập trình</v>
      </c>
    </row>
    <row r="99" spans="1:25" s="2" customFormat="1" ht="27.6" x14ac:dyDescent="0.3">
      <c r="A99" s="171">
        <v>7</v>
      </c>
      <c r="B99" s="172" t="s">
        <v>93</v>
      </c>
      <c r="C99" s="173" t="s">
        <v>330</v>
      </c>
      <c r="D99" s="173" t="s">
        <v>331</v>
      </c>
      <c r="E99" s="172">
        <v>3</v>
      </c>
      <c r="F99" s="172">
        <v>30</v>
      </c>
      <c r="G99" s="172">
        <v>30</v>
      </c>
      <c r="H99" s="172">
        <v>0</v>
      </c>
      <c r="I99" s="172">
        <v>0</v>
      </c>
      <c r="J99" s="172" t="s">
        <v>327</v>
      </c>
      <c r="K99" s="179" t="s">
        <v>121</v>
      </c>
      <c r="L99" s="174" t="s">
        <v>332</v>
      </c>
      <c r="M99" s="174" t="s">
        <v>281</v>
      </c>
      <c r="N99" s="174" t="s">
        <v>329</v>
      </c>
      <c r="O99" s="285"/>
      <c r="P99" s="176" t="s">
        <v>245</v>
      </c>
      <c r="Q99" s="177" t="s">
        <v>246</v>
      </c>
      <c r="R99" s="178">
        <v>2</v>
      </c>
      <c r="S99" s="199">
        <v>3</v>
      </c>
      <c r="T99" s="3"/>
      <c r="U99" s="2">
        <f>_xlfn.XLOOKUP(B99,'Ke hoach giảng dạy CNTT'!D:D,'Ke hoach giảng dạy CNTT'!B:B)</f>
        <v>2</v>
      </c>
      <c r="V99" s="1">
        <f>_xlfn.XLOOKUP(B99,'Ke hoach giảng dạy CNTT'!D:D,'Ke hoach giảng dạy CNTT'!C:C)</f>
        <v>3</v>
      </c>
      <c r="W99" s="3" t="str">
        <f>_xlfn.XLOOKUP(B99,[2]Sheet!$C$10:$C$107,[2]Sheet!$K$10:$K$107)</f>
        <v>[71ITSE30403]Lập trình ứng dụng Java</v>
      </c>
      <c r="X99" s="3" t="str">
        <f t="shared" si="2"/>
        <v>[71ITSE30403]Lập trình ứng dụng Java</v>
      </c>
    </row>
    <row r="100" spans="1:25" ht="27.6" x14ac:dyDescent="0.3">
      <c r="A100" s="171">
        <v>4</v>
      </c>
      <c r="B100" s="172" t="s">
        <v>92</v>
      </c>
      <c r="C100" s="173" t="s">
        <v>333</v>
      </c>
      <c r="D100" s="173" t="s">
        <v>334</v>
      </c>
      <c r="E100" s="172">
        <v>3</v>
      </c>
      <c r="F100" s="172">
        <v>30</v>
      </c>
      <c r="G100" s="172">
        <v>30</v>
      </c>
      <c r="H100" s="172">
        <v>0</v>
      </c>
      <c r="I100" s="172">
        <v>0</v>
      </c>
      <c r="J100" s="172" t="s">
        <v>327</v>
      </c>
      <c r="K100" s="179" t="s">
        <v>121</v>
      </c>
      <c r="L100" s="174" t="s">
        <v>121</v>
      </c>
      <c r="M100" s="174" t="s">
        <v>281</v>
      </c>
      <c r="N100" s="174" t="s">
        <v>329</v>
      </c>
      <c r="O100" s="285"/>
      <c r="P100" s="176" t="s">
        <v>245</v>
      </c>
      <c r="Q100" s="177" t="s">
        <v>246</v>
      </c>
      <c r="R100" s="178">
        <v>1</v>
      </c>
      <c r="S100" s="199">
        <v>3</v>
      </c>
      <c r="U100" s="2">
        <f>_xlfn.XLOOKUP(B100,'Ke hoach giảng dạy CNTT'!D:D,'Ke hoach giảng dạy CNTT'!B:B)</f>
        <v>2</v>
      </c>
      <c r="V100" s="1">
        <f>_xlfn.XLOOKUP(B100,'Ke hoach giảng dạy CNTT'!D:D,'Ke hoach giảng dạy CNTT'!C:C)</f>
        <v>3</v>
      </c>
      <c r="W100" s="3">
        <f>_xlfn.XLOOKUP(B100,[2]Sheet!$C$10:$C$107,[2]Sheet!$K$10:$K$107)</f>
        <v>0</v>
      </c>
      <c r="X100" s="3" t="str">
        <f t="shared" si="2"/>
        <v>Không</v>
      </c>
    </row>
    <row r="101" spans="1:25" s="2" customFormat="1" ht="41.4" x14ac:dyDescent="0.3">
      <c r="A101" s="171">
        <v>5</v>
      </c>
      <c r="B101" s="172" t="s">
        <v>79</v>
      </c>
      <c r="C101" s="173" t="s">
        <v>335</v>
      </c>
      <c r="D101" s="173" t="s">
        <v>336</v>
      </c>
      <c r="E101" s="172">
        <v>3</v>
      </c>
      <c r="F101" s="172">
        <v>30</v>
      </c>
      <c r="G101" s="172">
        <v>30</v>
      </c>
      <c r="H101" s="172">
        <v>0</v>
      </c>
      <c r="I101" s="172">
        <v>0</v>
      </c>
      <c r="J101" s="172" t="s">
        <v>327</v>
      </c>
      <c r="K101" s="179" t="s">
        <v>121</v>
      </c>
      <c r="L101" s="173" t="s">
        <v>122</v>
      </c>
      <c r="M101" s="174" t="s">
        <v>281</v>
      </c>
      <c r="N101" s="173" t="s">
        <v>329</v>
      </c>
      <c r="O101" s="175"/>
      <c r="P101" s="176" t="s">
        <v>234</v>
      </c>
      <c r="Q101" s="177" t="s">
        <v>235</v>
      </c>
      <c r="R101" s="178">
        <v>1</v>
      </c>
      <c r="S101" s="199">
        <v>3</v>
      </c>
      <c r="U101" s="2">
        <f>_xlfn.XLOOKUP(B101,'Ke hoach giảng dạy CNTT'!D:D,'Ke hoach giảng dạy CNTT'!B:B)</f>
        <v>1</v>
      </c>
      <c r="V101" s="1">
        <f>_xlfn.XLOOKUP(B101,'Ke hoach giảng dạy CNTT'!D:D,'Ke hoach giảng dạy CNTT'!C:C)</f>
        <v>3</v>
      </c>
      <c r="W101" s="3">
        <f>_xlfn.XLOOKUP(B101,[2]Sheet!$C$10:$C$107,[2]Sheet!$K$10:$K$107)</f>
        <v>0</v>
      </c>
      <c r="X101" s="3" t="str">
        <f t="shared" si="2"/>
        <v>Không</v>
      </c>
    </row>
    <row r="102" spans="1:25" s="2" customFormat="1" ht="27.6" x14ac:dyDescent="0.3">
      <c r="A102" s="171">
        <v>8</v>
      </c>
      <c r="B102" s="172" t="s">
        <v>94</v>
      </c>
      <c r="C102" s="173" t="s">
        <v>337</v>
      </c>
      <c r="D102" s="173" t="s">
        <v>338</v>
      </c>
      <c r="E102" s="172">
        <v>3</v>
      </c>
      <c r="F102" s="172">
        <v>30</v>
      </c>
      <c r="G102" s="172">
        <v>30</v>
      </c>
      <c r="H102" s="172">
        <v>0</v>
      </c>
      <c r="I102" s="172">
        <v>0</v>
      </c>
      <c r="J102" s="172" t="s">
        <v>327</v>
      </c>
      <c r="K102" s="172" t="s">
        <v>121</v>
      </c>
      <c r="L102" s="173" t="s">
        <v>339</v>
      </c>
      <c r="M102" s="174" t="s">
        <v>281</v>
      </c>
      <c r="N102" s="173" t="s">
        <v>329</v>
      </c>
      <c r="O102" s="175"/>
      <c r="P102" s="176" t="s">
        <v>245</v>
      </c>
      <c r="Q102" s="177" t="s">
        <v>246</v>
      </c>
      <c r="R102" s="288">
        <v>2</v>
      </c>
      <c r="S102" s="199">
        <v>3</v>
      </c>
      <c r="T102" s="4"/>
      <c r="U102" s="2">
        <f>_xlfn.XLOOKUP(B102,'Ke hoach giảng dạy CNTT'!D:D,'Ke hoach giảng dạy CNTT'!B:B)</f>
        <v>2</v>
      </c>
      <c r="V102" s="1">
        <f>_xlfn.XLOOKUP(B102,'Ke hoach giảng dạy CNTT'!D:D,'Ke hoach giảng dạy CNTT'!C:C)</f>
        <v>3</v>
      </c>
      <c r="W102" s="3" t="str">
        <f>_xlfn.XLOOKUP(B102,[2]Sheet!$C$10:$C$107,[2]Sheet!$K$10:$K$107)</f>
        <v>[71ITSE41203]Kiểm thử phần mềm</v>
      </c>
      <c r="X102" s="3" t="str">
        <f t="shared" si="2"/>
        <v>[71ITSE41203]Kiểm thử phần mềm</v>
      </c>
      <c r="Y102" s="3"/>
    </row>
    <row r="103" spans="1:25" ht="30" customHeight="1" x14ac:dyDescent="0.3">
      <c r="A103" s="171">
        <v>6</v>
      </c>
      <c r="B103" s="172" t="s">
        <v>78</v>
      </c>
      <c r="C103" s="173" t="s">
        <v>340</v>
      </c>
      <c r="D103" s="173" t="s">
        <v>341</v>
      </c>
      <c r="E103" s="172">
        <v>3</v>
      </c>
      <c r="F103" s="172">
        <v>30</v>
      </c>
      <c r="G103" s="172">
        <v>30</v>
      </c>
      <c r="H103" s="172">
        <v>0</v>
      </c>
      <c r="I103" s="172">
        <v>0</v>
      </c>
      <c r="J103" s="172" t="s">
        <v>327</v>
      </c>
      <c r="K103" s="179" t="s">
        <v>121</v>
      </c>
      <c r="L103" s="173" t="s">
        <v>121</v>
      </c>
      <c r="M103" s="174" t="s">
        <v>281</v>
      </c>
      <c r="N103" s="173" t="s">
        <v>329</v>
      </c>
      <c r="O103" s="175"/>
      <c r="P103" s="176" t="s">
        <v>129</v>
      </c>
      <c r="Q103" s="177" t="s">
        <v>130</v>
      </c>
      <c r="R103" s="178">
        <v>1</v>
      </c>
      <c r="S103" s="199">
        <v>3</v>
      </c>
      <c r="U103" s="2">
        <f>_xlfn.XLOOKUP(B103,'Ke hoach giảng dạy CNTT'!D:D,'Ke hoach giảng dạy CNTT'!B:B)</f>
        <v>1</v>
      </c>
      <c r="V103" s="1">
        <f>_xlfn.XLOOKUP(B103,'Ke hoach giảng dạy CNTT'!D:D,'Ke hoach giảng dạy CNTT'!C:C)</f>
        <v>3</v>
      </c>
      <c r="W103" s="3">
        <f>_xlfn.XLOOKUP(B103,[2]Sheet!$C$10:$C$107,[2]Sheet!$K$10:$K$107)</f>
        <v>0</v>
      </c>
      <c r="X103" s="3" t="str">
        <f t="shared" si="2"/>
        <v>Không</v>
      </c>
    </row>
    <row r="104" spans="1:25" s="2" customFormat="1" ht="43.2" x14ac:dyDescent="0.3">
      <c r="A104" s="171">
        <v>1</v>
      </c>
      <c r="B104" s="172" t="s">
        <v>52</v>
      </c>
      <c r="C104" s="182" t="s">
        <v>342</v>
      </c>
      <c r="D104" s="173" t="s">
        <v>343</v>
      </c>
      <c r="E104" s="172">
        <v>3</v>
      </c>
      <c r="F104" s="172">
        <v>30</v>
      </c>
      <c r="G104" s="172">
        <v>30</v>
      </c>
      <c r="H104" s="172">
        <v>0</v>
      </c>
      <c r="I104" s="172">
        <v>0</v>
      </c>
      <c r="J104" s="172" t="s">
        <v>327</v>
      </c>
      <c r="K104" s="179" t="s">
        <v>121</v>
      </c>
      <c r="L104" s="173" t="s">
        <v>309</v>
      </c>
      <c r="M104" s="174" t="s">
        <v>281</v>
      </c>
      <c r="N104" s="173" t="s">
        <v>329</v>
      </c>
      <c r="O104" s="175"/>
      <c r="P104" s="176" t="s">
        <v>234</v>
      </c>
      <c r="Q104" s="183" t="s">
        <v>235</v>
      </c>
      <c r="R104" s="178">
        <v>3</v>
      </c>
      <c r="S104" s="199">
        <v>2</v>
      </c>
      <c r="U104" s="2">
        <f>_xlfn.XLOOKUP(B104,'Ke hoach giảng dạy CNTT'!D:D,'Ke hoach giảng dạy CNTT'!B:B)</f>
        <v>2</v>
      </c>
      <c r="V104" s="1">
        <f>_xlfn.XLOOKUP(B104,'Ke hoach giảng dạy CNTT'!D:D,'Ke hoach giảng dạy CNTT'!C:C)</f>
        <v>2</v>
      </c>
      <c r="W104" s="3" t="str">
        <f>_xlfn.XLOOKUP(B104,[2]Sheet!$C$10:$C$107,[2]Sheet!$K$10:$K$107)</f>
        <v>[71ITIS30103]Cơ sở dữ liệu</v>
      </c>
      <c r="X104" s="3" t="str">
        <f t="shared" si="1"/>
        <v>[71ITIS30103]Cơ sở dữ liệu</v>
      </c>
    </row>
    <row r="105" spans="1:25" ht="27.6" x14ac:dyDescent="0.3">
      <c r="A105" s="171">
        <v>3</v>
      </c>
      <c r="B105" s="172" t="s">
        <v>91</v>
      </c>
      <c r="C105" s="173" t="s">
        <v>325</v>
      </c>
      <c r="D105" s="173" t="s">
        <v>326</v>
      </c>
      <c r="E105" s="172">
        <v>3</v>
      </c>
      <c r="F105" s="172">
        <v>30</v>
      </c>
      <c r="G105" s="172">
        <v>30</v>
      </c>
      <c r="H105" s="172">
        <v>0</v>
      </c>
      <c r="I105" s="172">
        <v>0</v>
      </c>
      <c r="J105" s="172" t="s">
        <v>327</v>
      </c>
      <c r="K105" s="172" t="s">
        <v>121</v>
      </c>
      <c r="L105" s="173" t="s">
        <v>328</v>
      </c>
      <c r="M105" s="174" t="s">
        <v>281</v>
      </c>
      <c r="N105" s="173" t="s">
        <v>329</v>
      </c>
      <c r="O105" s="175"/>
      <c r="P105" s="176" t="s">
        <v>245</v>
      </c>
      <c r="Q105" s="177" t="s">
        <v>246</v>
      </c>
      <c r="R105" s="178">
        <v>1</v>
      </c>
      <c r="S105" s="199">
        <v>3</v>
      </c>
      <c r="T105" s="2"/>
      <c r="U105" s="2">
        <f>_xlfn.XLOOKUP(B105,'Ke hoach giảng dạy CNTT'!D:D,'Ke hoach giảng dạy CNTT'!B:B)</f>
        <v>2</v>
      </c>
      <c r="V105" s="1">
        <f>_xlfn.XLOOKUP(B105,'Ke hoach giảng dạy CNTT'!D:D,'Ke hoach giảng dạy CNTT'!C:C)</f>
        <v>3</v>
      </c>
      <c r="W105" s="3" t="str">
        <f>_xlfn.XLOOKUP(B105,[2]Sheet!$C$10:$C$107,[2]Sheet!$K$10:$K$107)</f>
        <v>[71ITSE30603]Lập trình ứng dụng di động</v>
      </c>
      <c r="X105" s="3" t="str">
        <f t="shared" si="1"/>
        <v>[71ITSE30603]Lập trình ứng dụng di động</v>
      </c>
    </row>
    <row r="106" spans="1:25" x14ac:dyDescent="0.3">
      <c r="A106" s="172"/>
      <c r="B106" s="172" t="s">
        <v>102</v>
      </c>
      <c r="C106" s="173" t="s">
        <v>616</v>
      </c>
      <c r="D106" s="173" t="s">
        <v>355</v>
      </c>
      <c r="E106" s="172">
        <v>3</v>
      </c>
      <c r="F106" s="172">
        <v>30</v>
      </c>
      <c r="G106" s="172">
        <v>30</v>
      </c>
      <c r="H106" s="172">
        <v>0</v>
      </c>
      <c r="I106" s="172"/>
      <c r="J106" s="172" t="s">
        <v>617</v>
      </c>
      <c r="K106" s="172" t="s">
        <v>618</v>
      </c>
      <c r="L106" s="172" t="s">
        <v>613</v>
      </c>
      <c r="M106" s="323"/>
      <c r="N106" s="324"/>
      <c r="O106" s="323"/>
      <c r="P106" s="325"/>
      <c r="Q106" s="326"/>
      <c r="R106" s="327"/>
      <c r="S106" s="328"/>
      <c r="T106" s="328"/>
      <c r="U106" s="2"/>
      <c r="V106" s="2"/>
      <c r="W106" s="1"/>
    </row>
    <row r="107" spans="1:25" ht="27.6" x14ac:dyDescent="0.3">
      <c r="A107" s="329"/>
      <c r="B107" s="329" t="s">
        <v>101</v>
      </c>
      <c r="C107" s="330" t="s">
        <v>619</v>
      </c>
      <c r="D107" s="330" t="s">
        <v>620</v>
      </c>
      <c r="E107" s="329">
        <v>3</v>
      </c>
      <c r="F107" s="329">
        <v>30</v>
      </c>
      <c r="G107" s="329">
        <v>30</v>
      </c>
      <c r="H107" s="329">
        <v>0</v>
      </c>
      <c r="I107" s="329"/>
      <c r="J107" s="329" t="s">
        <v>617</v>
      </c>
      <c r="K107" s="329" t="s">
        <v>618</v>
      </c>
      <c r="L107" s="329" t="s">
        <v>613</v>
      </c>
      <c r="M107" s="323"/>
      <c r="N107" s="324"/>
      <c r="O107" s="323"/>
      <c r="P107" s="325"/>
      <c r="Q107" s="326"/>
      <c r="R107" s="327"/>
      <c r="S107" s="328"/>
      <c r="T107" s="328"/>
      <c r="U107" s="2"/>
      <c r="V107" s="2"/>
      <c r="W107" s="1"/>
    </row>
    <row r="108" spans="1:25" customFormat="1" ht="21.6" customHeight="1" x14ac:dyDescent="0.3">
      <c r="A108" s="238" t="s">
        <v>371</v>
      </c>
      <c r="B108" s="239"/>
      <c r="C108" s="239"/>
      <c r="D108" s="239"/>
      <c r="E108" s="242">
        <v>4</v>
      </c>
      <c r="F108" s="242" t="s">
        <v>357</v>
      </c>
      <c r="G108" s="239"/>
      <c r="H108" s="239"/>
      <c r="I108" s="239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W108" s="3">
        <f>_xlfn.XLOOKUP(B108,[2]Sheet!$C$10:$C$107,[2]Sheet!$K$10:$K$107)</f>
        <v>0</v>
      </c>
      <c r="X108" s="3" t="str">
        <f t="shared" si="1"/>
        <v>Không</v>
      </c>
    </row>
    <row r="109" spans="1:25" s="2" customFormat="1" ht="19.2" customHeight="1" x14ac:dyDescent="0.3">
      <c r="A109" s="258">
        <f>COUNTA($B$12:B109)</f>
        <v>86</v>
      </c>
      <c r="B109" s="259" t="s">
        <v>98</v>
      </c>
      <c r="C109" s="260" t="s">
        <v>346</v>
      </c>
      <c r="D109" s="260" t="s">
        <v>347</v>
      </c>
      <c r="E109" s="259">
        <v>4</v>
      </c>
      <c r="F109" s="259">
        <v>0</v>
      </c>
      <c r="G109" s="259">
        <v>0</v>
      </c>
      <c r="H109" s="259">
        <v>0</v>
      </c>
      <c r="I109" s="259">
        <v>180</v>
      </c>
      <c r="J109" s="261" t="s">
        <v>120</v>
      </c>
      <c r="K109" s="262" t="s">
        <v>121</v>
      </c>
      <c r="L109" s="286" t="s">
        <v>614</v>
      </c>
      <c r="M109" s="263" t="s">
        <v>348</v>
      </c>
      <c r="N109" s="192"/>
      <c r="O109" s="187"/>
      <c r="P109" s="189"/>
      <c r="Q109" s="189"/>
      <c r="R109" s="186">
        <v>3</v>
      </c>
      <c r="S109" s="209">
        <v>3</v>
      </c>
      <c r="T109" s="4"/>
      <c r="U109" s="2">
        <f>_xlfn.XLOOKUP(B109,'Ke hoach giảng dạy CNTT'!D:D,'Ke hoach giảng dạy CNTT'!B:B)</f>
        <v>3</v>
      </c>
      <c r="V109" s="1">
        <f>_xlfn.XLOOKUP(B109,'Ke hoach giảng dạy CNTT'!D:D,'Ke hoach giảng dạy CNTT'!C:C)</f>
        <v>3</v>
      </c>
      <c r="W109" s="3" t="str">
        <f>_xlfn.XLOOKUP(B109,[2]Sheet!$C$10:$C$107,[2]Sheet!$K$10:$K$107)</f>
        <v>[71ITSE30103] Kỹ thuật lập trình</v>
      </c>
      <c r="X109" s="3" t="str">
        <f t="shared" si="1"/>
        <v>[71ITSE30103] Kỹ thuật lập trình</v>
      </c>
      <c r="Y109" s="3"/>
    </row>
    <row r="110" spans="1:25" customFormat="1" ht="21.6" customHeight="1" x14ac:dyDescent="0.3">
      <c r="A110" s="238" t="s">
        <v>372</v>
      </c>
      <c r="B110" s="239"/>
      <c r="C110" s="239"/>
      <c r="D110" s="239"/>
      <c r="E110" s="242">
        <v>6</v>
      </c>
      <c r="F110" s="242"/>
      <c r="G110" s="239"/>
      <c r="H110" s="239"/>
      <c r="I110" s="239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W110" s="3">
        <f>_xlfn.XLOOKUP(B110,[2]Sheet!$C$10:$C$107,[2]Sheet!$K$10:$K$107)</f>
        <v>0</v>
      </c>
      <c r="X110" s="3" t="str">
        <f t="shared" si="1"/>
        <v>Không</v>
      </c>
    </row>
    <row r="111" spans="1:25" s="2" customFormat="1" ht="41.4" x14ac:dyDescent="0.3">
      <c r="A111" s="258">
        <f>COUNTA($B$12:B111)</f>
        <v>87</v>
      </c>
      <c r="B111" s="259" t="s">
        <v>100</v>
      </c>
      <c r="C111" s="260" t="s">
        <v>349</v>
      </c>
      <c r="D111" s="260" t="s">
        <v>350</v>
      </c>
      <c r="E111" s="259">
        <v>6</v>
      </c>
      <c r="F111" s="259">
        <v>0</v>
      </c>
      <c r="G111" s="259">
        <v>0</v>
      </c>
      <c r="H111" s="259">
        <v>270</v>
      </c>
      <c r="I111" s="259">
        <v>0</v>
      </c>
      <c r="J111" s="261" t="s">
        <v>351</v>
      </c>
      <c r="K111" s="262" t="s">
        <v>121</v>
      </c>
      <c r="L111" s="286" t="s">
        <v>615</v>
      </c>
      <c r="M111" s="263" t="s">
        <v>352</v>
      </c>
      <c r="N111" s="263"/>
      <c r="O111" s="260" t="s">
        <v>353</v>
      </c>
      <c r="P111" s="189"/>
      <c r="Q111" s="189"/>
      <c r="R111" s="186">
        <v>1</v>
      </c>
      <c r="S111" s="209">
        <v>4</v>
      </c>
      <c r="T111" s="4"/>
      <c r="U111" s="2">
        <f>_xlfn.XLOOKUP(B111,'Ke hoach giảng dạy CNTT'!D:D,'Ke hoach giảng dạy CNTT'!B:B)</f>
        <v>1</v>
      </c>
      <c r="V111" s="1">
        <f>_xlfn.XLOOKUP(B111,'Ke hoach giảng dạy CNTT'!D:D,'Ke hoach giảng dạy CNTT'!C:C)</f>
        <v>4</v>
      </c>
      <c r="W111" s="3" t="str">
        <f>_xlfn.XLOOKUP(B111,[2]Sheet!$C$10:$C$107,[2]Sheet!$K$10:$K$107)</f>
        <v>Dựa theo quy định cụ thể của Khoa cho từng chuyên ngành</v>
      </c>
      <c r="X111" s="3" t="str">
        <f t="shared" si="1"/>
        <v>Dựa theo quy định cụ thể của Khoa cho từng chuyên ngành</v>
      </c>
      <c r="Y111" s="3"/>
    </row>
    <row r="112" spans="1:25" s="2" customFormat="1" ht="41.4" x14ac:dyDescent="0.3">
      <c r="A112" s="258">
        <f>COUNTA($B$12:B112)</f>
        <v>88</v>
      </c>
      <c r="B112" s="289" t="s">
        <v>621</v>
      </c>
      <c r="C112" s="290" t="s">
        <v>622</v>
      </c>
      <c r="D112" s="290" t="s">
        <v>623</v>
      </c>
      <c r="E112" s="289">
        <v>3</v>
      </c>
      <c r="F112" s="289">
        <v>0</v>
      </c>
      <c r="G112" s="289">
        <v>0</v>
      </c>
      <c r="H112" s="289">
        <v>180</v>
      </c>
      <c r="I112" s="289"/>
      <c r="J112" s="291" t="s">
        <v>351</v>
      </c>
      <c r="K112" s="292" t="s">
        <v>121</v>
      </c>
      <c r="L112" s="293" t="s">
        <v>630</v>
      </c>
      <c r="M112" s="263" t="s">
        <v>352</v>
      </c>
      <c r="N112" s="263" t="s">
        <v>329</v>
      </c>
      <c r="O112" s="260" t="s">
        <v>354</v>
      </c>
      <c r="P112" s="189"/>
      <c r="Q112" s="189"/>
      <c r="R112" s="186">
        <v>1</v>
      </c>
      <c r="S112" s="209">
        <v>4</v>
      </c>
      <c r="T112" s="4"/>
      <c r="U112" s="2">
        <f>_xlfn.XLOOKUP(B112,'Ke hoach giảng dạy CNTT'!D:D,'Ke hoach giảng dạy CNTT'!B:B)</f>
        <v>1</v>
      </c>
      <c r="V112" s="1">
        <f>_xlfn.XLOOKUP(B112,'Ke hoach giảng dạy CNTT'!D:D,'Ke hoach giảng dạy CNTT'!C:C)</f>
        <v>4</v>
      </c>
      <c r="W112" s="3" t="e">
        <f>_xlfn.XLOOKUP(B112,[2]Sheet!$C$10:$C$107,[2]Sheet!$K$10:$K$107)</f>
        <v>#N/A</v>
      </c>
      <c r="X112" s="3" t="e">
        <f t="shared" si="1"/>
        <v>#N/A</v>
      </c>
      <c r="Y112" s="3"/>
    </row>
    <row r="113" spans="1:24" ht="41.4" x14ac:dyDescent="0.3">
      <c r="A113" s="258">
        <f>COUNTA($B$12:B113)</f>
        <v>89</v>
      </c>
      <c r="B113" s="259" t="s">
        <v>624</v>
      </c>
      <c r="C113" s="260" t="s">
        <v>625</v>
      </c>
      <c r="D113" s="260" t="s">
        <v>626</v>
      </c>
      <c r="E113" s="259">
        <v>3</v>
      </c>
      <c r="F113" s="259">
        <v>30</v>
      </c>
      <c r="G113" s="259">
        <v>30</v>
      </c>
      <c r="H113" s="259"/>
      <c r="I113" s="259"/>
      <c r="J113" s="261" t="s">
        <v>351</v>
      </c>
      <c r="K113" s="262" t="s">
        <v>121</v>
      </c>
      <c r="L113" s="286" t="s">
        <v>630</v>
      </c>
      <c r="M113" s="263" t="s">
        <v>352</v>
      </c>
      <c r="N113" s="263" t="s">
        <v>329</v>
      </c>
      <c r="O113" s="260" t="s">
        <v>354</v>
      </c>
      <c r="P113" s="189"/>
      <c r="Q113" s="189"/>
      <c r="R113" s="186">
        <v>1</v>
      </c>
      <c r="S113" s="209">
        <v>4</v>
      </c>
      <c r="U113" s="2">
        <f>_xlfn.XLOOKUP(B113,'Ke hoach giảng dạy CNTT'!D:D,'Ke hoach giảng dạy CNTT'!B:B)</f>
        <v>1</v>
      </c>
      <c r="V113" s="1">
        <f>_xlfn.XLOOKUP(B113,'Ke hoach giảng dạy CNTT'!D:D,'Ke hoach giảng dạy CNTT'!C:C)</f>
        <v>4</v>
      </c>
      <c r="W113" s="3" t="e">
        <f>_xlfn.XLOOKUP(B113,[2]Sheet!$C$10:$C$107,[2]Sheet!$K$10:$K$107)</f>
        <v>#N/A</v>
      </c>
      <c r="X113" s="3" t="e">
        <f t="shared" si="1"/>
        <v>#N/A</v>
      </c>
    </row>
    <row r="114" spans="1:24" ht="15" thickBot="1" x14ac:dyDescent="0.35">
      <c r="A114" s="165"/>
      <c r="B114" s="166"/>
      <c r="C114" s="167"/>
      <c r="D114" s="167"/>
      <c r="E114" s="166"/>
      <c r="F114" s="166"/>
      <c r="G114" s="166"/>
      <c r="H114" s="166"/>
      <c r="I114" s="166"/>
      <c r="J114" s="168"/>
      <c r="K114" s="169"/>
      <c r="L114" s="277"/>
      <c r="M114" s="168"/>
      <c r="N114" s="280"/>
      <c r="O114" s="167"/>
      <c r="P114" s="169"/>
      <c r="Q114" s="169"/>
      <c r="R114" s="169"/>
      <c r="S114" s="200"/>
    </row>
  </sheetData>
  <sortState xmlns:xlrd2="http://schemas.microsoft.com/office/spreadsheetml/2017/richdata2" ref="B104:S105">
    <sortCondition ref="S104:S105"/>
    <sortCondition ref="R104:R105"/>
  </sortState>
  <conditionalFormatting sqref="A84:K89 A98:O105 A106:P107">
    <cfRule type="expression" dxfId="28" priority="8">
      <formula>#REF!&gt;=1</formula>
    </cfRule>
  </conditionalFormatting>
  <conditionalFormatting sqref="A12:O30">
    <cfRule type="expression" dxfId="27" priority="4">
      <formula>#REF!&gt;=1</formula>
    </cfRule>
  </conditionalFormatting>
  <conditionalFormatting sqref="A63:O63 A91:C92 B93:C94 A32:O52 A55:O61 A93:A96">
    <cfRule type="expression" dxfId="26" priority="34">
      <formula>#REF!&gt;=1</formula>
    </cfRule>
  </conditionalFormatting>
  <conditionalFormatting sqref="B68:B74 B63:B66 B77:B82 B98:K103 J99:J105 B84:B89 B101:B107 C105:I105 K105 C106:L107">
    <cfRule type="expression" dxfId="25" priority="31">
      <formula>#REF!=1</formula>
    </cfRule>
  </conditionalFormatting>
  <conditionalFormatting sqref="B79 M77:O77">
    <cfRule type="expression" dxfId="24" priority="32">
      <formula>#REF!&gt;=1</formula>
    </cfRule>
  </conditionalFormatting>
  <conditionalFormatting sqref="B83">
    <cfRule type="expression" dxfId="23" priority="3">
      <formula>#REF!=1</formula>
    </cfRule>
  </conditionalFormatting>
  <conditionalFormatting sqref="B91:B96 D93:O93">
    <cfRule type="expression" dxfId="22" priority="20">
      <formula>#REF!=1</formula>
    </cfRule>
  </conditionalFormatting>
  <conditionalFormatting sqref="B68:H74 K69:L71 K68 K72:K74">
    <cfRule type="expression" dxfId="21" priority="25">
      <formula>#REF!&gt;=1</formula>
    </cfRule>
  </conditionalFormatting>
  <conditionalFormatting sqref="B80:K83">
    <cfRule type="expression" dxfId="20" priority="2">
      <formula>#REF!&gt;=1</formula>
    </cfRule>
  </conditionalFormatting>
  <conditionalFormatting sqref="B95:O96">
    <cfRule type="expression" dxfId="19" priority="13">
      <formula>#REF!&gt;=1</formula>
    </cfRule>
  </conditionalFormatting>
  <conditionalFormatting sqref="C79:K79">
    <cfRule type="expression" dxfId="18" priority="30">
      <formula>#REF!&gt;=1</formula>
    </cfRule>
  </conditionalFormatting>
  <conditionalFormatting sqref="D99:J103">
    <cfRule type="expression" dxfId="17" priority="12">
      <formula>#REF!&gt;=1</formula>
    </cfRule>
  </conditionalFormatting>
  <conditionalFormatting sqref="D93:O94 A64:L64 M64:O66 B65:L66 A65:A74 M69:O71 B77:K78 J86:O86 D91:K92">
    <cfRule type="expression" dxfId="16" priority="22">
      <formula>#REF!&gt;=1</formula>
    </cfRule>
  </conditionalFormatting>
  <conditionalFormatting sqref="E90">
    <cfRule type="expression" dxfId="15" priority="1">
      <formula>#REF!&gt;=1</formula>
    </cfRule>
  </conditionalFormatting>
  <conditionalFormatting sqref="I68:J74">
    <cfRule type="expression" dxfId="14" priority="16">
      <formula>#REF!&gt;=1</formula>
    </cfRule>
  </conditionalFormatting>
  <conditionalFormatting sqref="J86">
    <cfRule type="expression" dxfId="13" priority="33">
      <formula>#REF!=1</formula>
    </cfRule>
  </conditionalFormatting>
  <conditionalFormatting sqref="K79:K82 L67:O68">
    <cfRule type="expression" dxfId="12" priority="29">
      <formula>$J67="x"</formula>
    </cfRule>
  </conditionalFormatting>
  <conditionalFormatting sqref="L61">
    <cfRule type="expression" dxfId="11" priority="19">
      <formula>#REF!&gt;=1</formula>
    </cfRule>
  </conditionalFormatting>
  <conditionalFormatting sqref="L91">
    <cfRule type="expression" dxfId="10" priority="27">
      <formula>$J91="x"</formula>
    </cfRule>
  </conditionalFormatting>
  <conditionalFormatting sqref="L59:O59">
    <cfRule type="expression" dxfId="9" priority="28">
      <formula>#REF!&gt;=1</formula>
    </cfRule>
  </conditionalFormatting>
  <conditionalFormatting sqref="L70:O70 L93:O94 C91:C96 C84:C89 C68 C70 C72:C74 M91:O91">
    <cfRule type="expression" dxfId="8" priority="24">
      <formula>$J68="x"</formula>
    </cfRule>
  </conditionalFormatting>
  <conditionalFormatting sqref="L72:O74">
    <cfRule type="expression" dxfId="7" priority="23">
      <formula>$J72="x"</formula>
    </cfRule>
  </conditionalFormatting>
  <conditionalFormatting sqref="L84:O84">
    <cfRule type="expression" dxfId="6" priority="9">
      <formula>#REF!&gt;=1</formula>
    </cfRule>
  </conditionalFormatting>
  <conditionalFormatting sqref="L84:O85 L78:O82">
    <cfRule type="expression" dxfId="5" priority="17">
      <formula>$J78="x"</formula>
    </cfRule>
  </conditionalFormatting>
  <conditionalFormatting sqref="L87:O89">
    <cfRule type="expression" dxfId="4" priority="14">
      <formula>$J87="x"</formula>
    </cfRule>
  </conditionalFormatting>
  <conditionalFormatting sqref="L91:O92 L85:O89">
    <cfRule type="expression" dxfId="3" priority="26">
      <formula>#REF!&gt;=1</formula>
    </cfRule>
  </conditionalFormatting>
  <conditionalFormatting sqref="L100:O101 C103 L103:O104 L77">
    <cfRule type="expression" dxfId="2" priority="18">
      <formula>$J77="x"</formula>
    </cfRule>
  </conditionalFormatting>
  <conditionalFormatting sqref="M99:N99">
    <cfRule type="expression" dxfId="1" priority="10">
      <formula>#REF!&gt;=1</formula>
    </cfRule>
    <cfRule type="expression" dxfId="0" priority="11">
      <formula>$J99="x"</formula>
    </cfRule>
  </conditionalFormatting>
  <pageMargins left="0.15748031496062992" right="0.15748031496062992" top="0.15748031496062992" bottom="0.15748031496062992" header="0.15748031496062992" footer="0.15748031496062992"/>
  <pageSetup paperSize="9" scale="60" fitToHeight="0" orientation="landscape" r:id="rId1"/>
  <ignoredErrors>
    <ignoredError sqref="E62 E9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topLeftCell="A21" workbookViewId="0">
      <selection activeCell="B34" sqref="B34"/>
    </sheetView>
  </sheetViews>
  <sheetFormatPr defaultColWidth="8.88671875" defaultRowHeight="14.4" x14ac:dyDescent="0.3"/>
  <cols>
    <col min="2" max="2" width="10.44140625" customWidth="1"/>
    <col min="3" max="3" width="49.109375" bestFit="1" customWidth="1"/>
    <col min="5" max="5" width="36.33203125" customWidth="1"/>
    <col min="6" max="6" width="17.88671875" customWidth="1"/>
  </cols>
  <sheetData>
    <row r="1" spans="1:6" s="6" customFormat="1" ht="32.25" customHeight="1" x14ac:dyDescent="0.3">
      <c r="A1" s="356" t="s">
        <v>373</v>
      </c>
      <c r="B1" s="356"/>
      <c r="C1" s="356"/>
      <c r="D1" s="356"/>
      <c r="E1" s="356"/>
      <c r="F1" s="356"/>
    </row>
    <row r="2" spans="1:6" s="6" customFormat="1" ht="53.25" customHeight="1" x14ac:dyDescent="0.3">
      <c r="A2" s="357" t="s">
        <v>374</v>
      </c>
      <c r="B2" s="357"/>
      <c r="C2" s="357"/>
      <c r="D2" s="357"/>
      <c r="E2" s="357"/>
      <c r="F2" s="357"/>
    </row>
    <row r="3" spans="1:6" s="6" customFormat="1" ht="13.8" x14ac:dyDescent="0.3">
      <c r="B3" s="7"/>
    </row>
    <row r="4" spans="1:6" s="9" customFormat="1" ht="23.1" customHeight="1" x14ac:dyDescent="0.3">
      <c r="A4" s="8" t="s">
        <v>375</v>
      </c>
      <c r="B4" s="8" t="s">
        <v>376</v>
      </c>
      <c r="C4" s="8" t="s">
        <v>377</v>
      </c>
      <c r="D4" s="8" t="s">
        <v>378</v>
      </c>
      <c r="E4" s="8" t="s">
        <v>379</v>
      </c>
      <c r="F4" s="8" t="s">
        <v>14</v>
      </c>
    </row>
    <row r="5" spans="1:6" s="6" customFormat="1" ht="13.8" x14ac:dyDescent="0.3">
      <c r="A5" s="11">
        <v>1</v>
      </c>
      <c r="B5" s="10" t="s">
        <v>380</v>
      </c>
      <c r="C5" s="11" t="s">
        <v>381</v>
      </c>
      <c r="D5" s="11" t="s">
        <v>382</v>
      </c>
      <c r="E5" s="11" t="s">
        <v>383</v>
      </c>
      <c r="F5" s="11"/>
    </row>
    <row r="6" spans="1:6" s="6" customFormat="1" ht="13.8" x14ac:dyDescent="0.3">
      <c r="A6" s="11">
        <v>2</v>
      </c>
      <c r="B6" s="10" t="s">
        <v>384</v>
      </c>
      <c r="C6" s="11" t="s">
        <v>385</v>
      </c>
      <c r="D6" s="11" t="s">
        <v>382</v>
      </c>
      <c r="E6" s="11" t="s">
        <v>383</v>
      </c>
      <c r="F6" s="11"/>
    </row>
    <row r="7" spans="1:6" x14ac:dyDescent="0.3">
      <c r="A7" s="11">
        <v>3</v>
      </c>
      <c r="B7" s="13" t="s">
        <v>386</v>
      </c>
      <c r="C7" s="12" t="s">
        <v>387</v>
      </c>
      <c r="D7" s="12" t="s">
        <v>382</v>
      </c>
      <c r="E7" s="12" t="s">
        <v>383</v>
      </c>
      <c r="F7" s="12"/>
    </row>
    <row r="8" spans="1:6" x14ac:dyDescent="0.3">
      <c r="A8" s="11">
        <v>4</v>
      </c>
      <c r="B8" s="13" t="s">
        <v>124</v>
      </c>
      <c r="C8" s="12" t="s">
        <v>388</v>
      </c>
      <c r="D8" s="12" t="s">
        <v>389</v>
      </c>
      <c r="E8" s="12" t="s">
        <v>390</v>
      </c>
      <c r="F8" s="12"/>
    </row>
    <row r="9" spans="1:6" x14ac:dyDescent="0.3">
      <c r="A9" s="11">
        <v>5</v>
      </c>
      <c r="B9" s="13" t="s">
        <v>391</v>
      </c>
      <c r="C9" s="12" t="s">
        <v>392</v>
      </c>
      <c r="D9" s="12" t="s">
        <v>389</v>
      </c>
      <c r="E9" s="12" t="s">
        <v>390</v>
      </c>
      <c r="F9" s="12"/>
    </row>
    <row r="10" spans="1:6" x14ac:dyDescent="0.3">
      <c r="A10" s="11">
        <v>6</v>
      </c>
      <c r="B10" s="13" t="s">
        <v>393</v>
      </c>
      <c r="C10" s="12" t="s">
        <v>394</v>
      </c>
      <c r="D10" s="12" t="s">
        <v>389</v>
      </c>
      <c r="E10" s="12" t="s">
        <v>390</v>
      </c>
      <c r="F10" s="12"/>
    </row>
    <row r="11" spans="1:6" x14ac:dyDescent="0.3">
      <c r="A11" s="11">
        <v>7</v>
      </c>
      <c r="B11" s="13" t="s">
        <v>395</v>
      </c>
      <c r="C11" s="12" t="s">
        <v>396</v>
      </c>
      <c r="D11" s="12" t="s">
        <v>389</v>
      </c>
      <c r="E11" s="12" t="s">
        <v>390</v>
      </c>
      <c r="F11" s="12"/>
    </row>
    <row r="12" spans="1:6" x14ac:dyDescent="0.3">
      <c r="A12" s="11">
        <v>8</v>
      </c>
      <c r="B12" s="13" t="s">
        <v>397</v>
      </c>
      <c r="C12" s="12" t="s">
        <v>398</v>
      </c>
      <c r="D12" s="12" t="s">
        <v>399</v>
      </c>
      <c r="E12" s="12" t="s">
        <v>400</v>
      </c>
      <c r="F12" s="12"/>
    </row>
    <row r="13" spans="1:6" x14ac:dyDescent="0.3">
      <c r="A13" s="11">
        <v>9</v>
      </c>
      <c r="B13" s="13" t="s">
        <v>401</v>
      </c>
      <c r="C13" s="12" t="s">
        <v>402</v>
      </c>
      <c r="D13" s="12" t="s">
        <v>399</v>
      </c>
      <c r="E13" s="12" t="s">
        <v>400</v>
      </c>
      <c r="F13" s="12"/>
    </row>
    <row r="14" spans="1:6" x14ac:dyDescent="0.3">
      <c r="A14" s="11">
        <v>10</v>
      </c>
      <c r="B14" s="13" t="s">
        <v>403</v>
      </c>
      <c r="C14" s="12" t="s">
        <v>404</v>
      </c>
      <c r="D14" s="12" t="s">
        <v>399</v>
      </c>
      <c r="E14" s="12" t="s">
        <v>400</v>
      </c>
      <c r="F14" s="12"/>
    </row>
    <row r="15" spans="1:6" x14ac:dyDescent="0.3">
      <c r="A15" s="11">
        <v>11</v>
      </c>
      <c r="B15" s="13" t="s">
        <v>405</v>
      </c>
      <c r="C15" s="12" t="s">
        <v>406</v>
      </c>
      <c r="D15" s="12" t="s">
        <v>399</v>
      </c>
      <c r="E15" s="12" t="s">
        <v>400</v>
      </c>
      <c r="F15" s="12"/>
    </row>
    <row r="16" spans="1:6" x14ac:dyDescent="0.3">
      <c r="A16" s="11">
        <v>12</v>
      </c>
      <c r="B16" s="13" t="s">
        <v>407</v>
      </c>
      <c r="C16" s="12" t="s">
        <v>408</v>
      </c>
      <c r="D16" s="12" t="s">
        <v>409</v>
      </c>
      <c r="E16" s="12" t="s">
        <v>410</v>
      </c>
      <c r="F16" s="12"/>
    </row>
    <row r="17" spans="1:6" x14ac:dyDescent="0.3">
      <c r="A17" s="11">
        <v>13</v>
      </c>
      <c r="B17" s="13" t="s">
        <v>411</v>
      </c>
      <c r="C17" s="12" t="s">
        <v>412</v>
      </c>
      <c r="D17" s="12" t="s">
        <v>409</v>
      </c>
      <c r="E17" s="12" t="s">
        <v>410</v>
      </c>
      <c r="F17" s="12"/>
    </row>
    <row r="18" spans="1:6" x14ac:dyDescent="0.3">
      <c r="A18" s="11">
        <v>14</v>
      </c>
      <c r="B18" s="13" t="s">
        <v>413</v>
      </c>
      <c r="C18" s="12" t="s">
        <v>414</v>
      </c>
      <c r="D18" s="12" t="s">
        <v>409</v>
      </c>
      <c r="E18" s="12" t="s">
        <v>410</v>
      </c>
      <c r="F18" s="12"/>
    </row>
    <row r="19" spans="1:6" x14ac:dyDescent="0.3">
      <c r="A19" s="11">
        <v>15</v>
      </c>
      <c r="B19" s="13" t="s">
        <v>415</v>
      </c>
      <c r="C19" s="12" t="s">
        <v>416</v>
      </c>
      <c r="D19" s="12" t="s">
        <v>409</v>
      </c>
      <c r="E19" s="12" t="s">
        <v>410</v>
      </c>
      <c r="F19" s="12"/>
    </row>
    <row r="20" spans="1:6" x14ac:dyDescent="0.3">
      <c r="A20" s="11">
        <v>16</v>
      </c>
      <c r="B20" s="13" t="s">
        <v>417</v>
      </c>
      <c r="C20" s="12" t="s">
        <v>418</v>
      </c>
      <c r="D20" s="12" t="s">
        <v>409</v>
      </c>
      <c r="E20" s="12" t="s">
        <v>410</v>
      </c>
      <c r="F20" s="12"/>
    </row>
    <row r="21" spans="1:6" x14ac:dyDescent="0.3">
      <c r="A21" s="11">
        <v>17</v>
      </c>
      <c r="B21" s="13" t="s">
        <v>419</v>
      </c>
      <c r="C21" s="12" t="s">
        <v>420</v>
      </c>
      <c r="D21" s="12" t="s">
        <v>409</v>
      </c>
      <c r="E21" s="12" t="s">
        <v>410</v>
      </c>
      <c r="F21" s="12"/>
    </row>
    <row r="22" spans="1:6" x14ac:dyDescent="0.3">
      <c r="A22" s="11">
        <v>18</v>
      </c>
      <c r="B22" s="13" t="s">
        <v>421</v>
      </c>
      <c r="C22" s="12" t="s">
        <v>422</v>
      </c>
      <c r="D22" s="12" t="s">
        <v>409</v>
      </c>
      <c r="E22" s="12" t="s">
        <v>410</v>
      </c>
      <c r="F22" s="12"/>
    </row>
    <row r="23" spans="1:6" x14ac:dyDescent="0.3">
      <c r="A23" s="11">
        <v>19</v>
      </c>
      <c r="B23" s="13" t="s">
        <v>423</v>
      </c>
      <c r="C23" s="12" t="s">
        <v>424</v>
      </c>
      <c r="D23" s="12" t="s">
        <v>425</v>
      </c>
      <c r="E23" s="12" t="s">
        <v>426</v>
      </c>
      <c r="F23" s="12"/>
    </row>
    <row r="24" spans="1:6" x14ac:dyDescent="0.3">
      <c r="A24" s="11">
        <v>20</v>
      </c>
      <c r="B24" s="13" t="s">
        <v>427</v>
      </c>
      <c r="C24" s="12" t="s">
        <v>428</v>
      </c>
      <c r="D24" s="12" t="s">
        <v>425</v>
      </c>
      <c r="E24" s="12" t="s">
        <v>426</v>
      </c>
      <c r="F24" s="12"/>
    </row>
    <row r="25" spans="1:6" x14ac:dyDescent="0.3">
      <c r="A25" s="11">
        <v>21</v>
      </c>
      <c r="B25" s="13" t="s">
        <v>429</v>
      </c>
      <c r="C25" s="12" t="s">
        <v>430</v>
      </c>
      <c r="D25" s="12" t="s">
        <v>425</v>
      </c>
      <c r="E25" s="12" t="s">
        <v>426</v>
      </c>
      <c r="F25" s="12"/>
    </row>
    <row r="26" spans="1:6" x14ac:dyDescent="0.3">
      <c r="A26" s="11">
        <v>22</v>
      </c>
      <c r="B26" s="13" t="s">
        <v>431</v>
      </c>
      <c r="C26" s="12" t="s">
        <v>432</v>
      </c>
      <c r="D26" s="12" t="s">
        <v>425</v>
      </c>
      <c r="E26" s="12" t="s">
        <v>426</v>
      </c>
      <c r="F26" s="12"/>
    </row>
    <row r="27" spans="1:6" x14ac:dyDescent="0.3">
      <c r="A27" s="11">
        <v>23</v>
      </c>
      <c r="B27" s="13" t="s">
        <v>433</v>
      </c>
      <c r="C27" s="12" t="s">
        <v>434</v>
      </c>
      <c r="D27" s="12" t="s">
        <v>425</v>
      </c>
      <c r="E27" s="12" t="s">
        <v>426</v>
      </c>
      <c r="F27" s="12"/>
    </row>
    <row r="28" spans="1:6" x14ac:dyDescent="0.3">
      <c r="A28" s="11">
        <v>24</v>
      </c>
      <c r="B28" s="13" t="s">
        <v>435</v>
      </c>
      <c r="C28" s="12" t="s">
        <v>436</v>
      </c>
      <c r="D28" s="12" t="s">
        <v>437</v>
      </c>
      <c r="E28" s="12" t="s">
        <v>438</v>
      </c>
      <c r="F28" s="12"/>
    </row>
    <row r="29" spans="1:6" x14ac:dyDescent="0.3">
      <c r="A29" s="11">
        <v>25</v>
      </c>
      <c r="B29" s="13" t="s">
        <v>439</v>
      </c>
      <c r="C29" s="12" t="s">
        <v>440</v>
      </c>
      <c r="D29" s="12" t="s">
        <v>437</v>
      </c>
      <c r="E29" s="12" t="s">
        <v>438</v>
      </c>
      <c r="F29" s="12"/>
    </row>
    <row r="30" spans="1:6" x14ac:dyDescent="0.3">
      <c r="A30" s="11">
        <v>26</v>
      </c>
      <c r="B30" s="13" t="s">
        <v>441</v>
      </c>
      <c r="C30" s="12" t="s">
        <v>442</v>
      </c>
      <c r="D30" s="12" t="s">
        <v>437</v>
      </c>
      <c r="E30" s="12" t="s">
        <v>438</v>
      </c>
      <c r="F30" s="12"/>
    </row>
    <row r="31" spans="1:6" x14ac:dyDescent="0.3">
      <c r="A31" s="11">
        <v>27</v>
      </c>
      <c r="B31" s="13" t="s">
        <v>129</v>
      </c>
      <c r="C31" s="12" t="s">
        <v>130</v>
      </c>
      <c r="D31" s="12" t="s">
        <v>443</v>
      </c>
      <c r="E31" s="12" t="s">
        <v>444</v>
      </c>
      <c r="F31" s="12"/>
    </row>
    <row r="32" spans="1:6" x14ac:dyDescent="0.3">
      <c r="A32" s="11">
        <v>28</v>
      </c>
      <c r="B32" s="13" t="s">
        <v>234</v>
      </c>
      <c r="C32" s="12" t="s">
        <v>235</v>
      </c>
      <c r="D32" s="12" t="s">
        <v>443</v>
      </c>
      <c r="E32" s="12" t="s">
        <v>444</v>
      </c>
      <c r="F32" s="12"/>
    </row>
    <row r="33" spans="1:6" x14ac:dyDescent="0.3">
      <c r="A33" s="11">
        <v>29</v>
      </c>
      <c r="B33" s="13" t="s">
        <v>245</v>
      </c>
      <c r="C33" s="12" t="s">
        <v>246</v>
      </c>
      <c r="D33" s="12" t="s">
        <v>443</v>
      </c>
      <c r="E33" s="12" t="s">
        <v>444</v>
      </c>
      <c r="F33" s="12"/>
    </row>
    <row r="34" spans="1:6" x14ac:dyDescent="0.3">
      <c r="A34" s="11">
        <v>30</v>
      </c>
      <c r="B34" s="13" t="s">
        <v>226</v>
      </c>
      <c r="C34" s="12" t="s">
        <v>227</v>
      </c>
      <c r="D34" s="12" t="s">
        <v>443</v>
      </c>
      <c r="E34" s="12" t="s">
        <v>444</v>
      </c>
      <c r="F34" s="12"/>
    </row>
    <row r="35" spans="1:6" x14ac:dyDescent="0.3">
      <c r="A35" s="11">
        <v>31</v>
      </c>
      <c r="B35" s="13" t="s">
        <v>445</v>
      </c>
      <c r="C35" s="12" t="s">
        <v>446</v>
      </c>
      <c r="D35" s="12" t="s">
        <v>447</v>
      </c>
      <c r="E35" s="12" t="s">
        <v>448</v>
      </c>
      <c r="F35" s="12"/>
    </row>
    <row r="36" spans="1:6" x14ac:dyDescent="0.3">
      <c r="A36" s="11">
        <v>32</v>
      </c>
      <c r="B36" s="13" t="s">
        <v>449</v>
      </c>
      <c r="C36" s="12" t="s">
        <v>450</v>
      </c>
      <c r="D36" s="12" t="s">
        <v>447</v>
      </c>
      <c r="E36" s="12" t="s">
        <v>448</v>
      </c>
      <c r="F36" s="12"/>
    </row>
    <row r="37" spans="1:6" x14ac:dyDescent="0.3">
      <c r="A37" s="11">
        <v>33</v>
      </c>
      <c r="B37" s="13" t="s">
        <v>451</v>
      </c>
      <c r="C37" s="12" t="s">
        <v>452</v>
      </c>
      <c r="D37" s="12" t="s">
        <v>447</v>
      </c>
      <c r="E37" s="12" t="s">
        <v>448</v>
      </c>
      <c r="F37" s="12"/>
    </row>
    <row r="38" spans="1:6" x14ac:dyDescent="0.3">
      <c r="A38" s="11">
        <v>34</v>
      </c>
      <c r="B38" s="13" t="s">
        <v>453</v>
      </c>
      <c r="C38" s="12" t="s">
        <v>454</v>
      </c>
      <c r="D38" s="12" t="s">
        <v>455</v>
      </c>
      <c r="E38" s="12" t="s">
        <v>456</v>
      </c>
      <c r="F38" s="12"/>
    </row>
    <row r="39" spans="1:6" x14ac:dyDescent="0.3">
      <c r="A39" s="11">
        <v>35</v>
      </c>
      <c r="B39" s="13" t="s">
        <v>457</v>
      </c>
      <c r="C39" s="12" t="s">
        <v>458</v>
      </c>
      <c r="D39" s="12" t="s">
        <v>455</v>
      </c>
      <c r="E39" s="12" t="s">
        <v>456</v>
      </c>
      <c r="F39" s="12"/>
    </row>
    <row r="40" spans="1:6" x14ac:dyDescent="0.3">
      <c r="A40" s="11">
        <v>36</v>
      </c>
      <c r="B40" s="13" t="s">
        <v>459</v>
      </c>
      <c r="C40" s="12" t="s">
        <v>460</v>
      </c>
      <c r="D40" s="12" t="s">
        <v>455</v>
      </c>
      <c r="E40" s="12" t="s">
        <v>456</v>
      </c>
      <c r="F40" s="12"/>
    </row>
    <row r="41" spans="1:6" x14ac:dyDescent="0.3">
      <c r="A41" s="11">
        <v>37</v>
      </c>
      <c r="B41" s="13" t="s">
        <v>461</v>
      </c>
      <c r="C41" s="12" t="s">
        <v>462</v>
      </c>
      <c r="D41" s="12" t="s">
        <v>455</v>
      </c>
      <c r="E41" s="12" t="s">
        <v>456</v>
      </c>
      <c r="F41" s="12"/>
    </row>
    <row r="42" spans="1:6" x14ac:dyDescent="0.3">
      <c r="A42" s="11">
        <v>38</v>
      </c>
      <c r="B42" s="13" t="s">
        <v>463</v>
      </c>
      <c r="C42" s="12" t="s">
        <v>464</v>
      </c>
      <c r="D42" s="12" t="s">
        <v>455</v>
      </c>
      <c r="E42" s="12" t="s">
        <v>456</v>
      </c>
      <c r="F42" s="12"/>
    </row>
    <row r="43" spans="1:6" x14ac:dyDescent="0.3">
      <c r="A43" s="11">
        <v>39</v>
      </c>
      <c r="B43" s="13" t="s">
        <v>465</v>
      </c>
      <c r="C43" s="12" t="s">
        <v>466</v>
      </c>
      <c r="D43" s="12" t="s">
        <v>455</v>
      </c>
      <c r="E43" s="12" t="s">
        <v>456</v>
      </c>
      <c r="F43" s="12"/>
    </row>
    <row r="44" spans="1:6" x14ac:dyDescent="0.3">
      <c r="A44" s="11">
        <v>40</v>
      </c>
      <c r="B44" s="13" t="s">
        <v>467</v>
      </c>
      <c r="C44" s="12" t="s">
        <v>468</v>
      </c>
      <c r="D44" s="12" t="s">
        <v>469</v>
      </c>
      <c r="E44" s="12" t="s">
        <v>470</v>
      </c>
      <c r="F44" s="12"/>
    </row>
    <row r="45" spans="1:6" x14ac:dyDescent="0.3">
      <c r="A45" s="11">
        <v>41</v>
      </c>
      <c r="B45" s="13" t="s">
        <v>471</v>
      </c>
      <c r="C45" s="12" t="s">
        <v>472</v>
      </c>
      <c r="D45" s="12" t="s">
        <v>469</v>
      </c>
      <c r="E45" s="12" t="s">
        <v>470</v>
      </c>
      <c r="F45" s="12"/>
    </row>
    <row r="46" spans="1:6" x14ac:dyDescent="0.3">
      <c r="A46" s="11">
        <v>42</v>
      </c>
      <c r="B46" s="13" t="s">
        <v>473</v>
      </c>
      <c r="C46" s="12" t="s">
        <v>474</v>
      </c>
      <c r="D46" s="12" t="s">
        <v>469</v>
      </c>
      <c r="E46" s="12" t="s">
        <v>470</v>
      </c>
      <c r="F46" s="12"/>
    </row>
    <row r="47" spans="1:6" x14ac:dyDescent="0.3">
      <c r="A47" s="11">
        <v>43</v>
      </c>
      <c r="B47" s="13" t="s">
        <v>475</v>
      </c>
      <c r="C47" s="12" t="s">
        <v>476</v>
      </c>
      <c r="D47" s="12" t="s">
        <v>477</v>
      </c>
      <c r="E47" s="12" t="s">
        <v>478</v>
      </c>
      <c r="F47" s="12"/>
    </row>
    <row r="48" spans="1:6" x14ac:dyDescent="0.3">
      <c r="A48" s="11">
        <v>44</v>
      </c>
      <c r="B48" s="13" t="s">
        <v>479</v>
      </c>
      <c r="C48" s="12" t="s">
        <v>480</v>
      </c>
      <c r="D48" s="12" t="s">
        <v>477</v>
      </c>
      <c r="E48" s="12" t="s">
        <v>478</v>
      </c>
      <c r="F48" s="12"/>
    </row>
    <row r="49" spans="1:6" x14ac:dyDescent="0.3">
      <c r="A49" s="11">
        <v>45</v>
      </c>
      <c r="B49" s="13" t="s">
        <v>481</v>
      </c>
      <c r="C49" s="12" t="s">
        <v>482</v>
      </c>
      <c r="D49" s="12" t="s">
        <v>477</v>
      </c>
      <c r="E49" s="12" t="s">
        <v>478</v>
      </c>
      <c r="F49" s="12"/>
    </row>
    <row r="50" spans="1:6" x14ac:dyDescent="0.3">
      <c r="A50" s="11">
        <v>46</v>
      </c>
      <c r="B50" s="13" t="s">
        <v>483</v>
      </c>
      <c r="C50" s="12" t="s">
        <v>484</v>
      </c>
      <c r="D50" s="12" t="s">
        <v>477</v>
      </c>
      <c r="E50" s="12" t="s">
        <v>478</v>
      </c>
      <c r="F50" s="12"/>
    </row>
    <row r="51" spans="1:6" x14ac:dyDescent="0.3">
      <c r="A51" s="11">
        <v>47</v>
      </c>
      <c r="B51" s="13" t="s">
        <v>485</v>
      </c>
      <c r="C51" s="12" t="s">
        <v>486</v>
      </c>
      <c r="D51" s="12" t="s">
        <v>487</v>
      </c>
      <c r="E51" s="12" t="s">
        <v>488</v>
      </c>
      <c r="F51" s="12"/>
    </row>
    <row r="52" spans="1:6" x14ac:dyDescent="0.3">
      <c r="A52" s="11">
        <v>48</v>
      </c>
      <c r="B52" s="13" t="s">
        <v>489</v>
      </c>
      <c r="C52" s="12" t="s">
        <v>490</v>
      </c>
      <c r="D52" s="12" t="s">
        <v>487</v>
      </c>
      <c r="E52" s="12" t="s">
        <v>488</v>
      </c>
      <c r="F52" s="12"/>
    </row>
    <row r="53" spans="1:6" x14ac:dyDescent="0.3">
      <c r="A53" s="11">
        <v>49</v>
      </c>
      <c r="B53" s="13" t="s">
        <v>491</v>
      </c>
      <c r="C53" s="12" t="s">
        <v>492</v>
      </c>
      <c r="D53" s="12" t="s">
        <v>487</v>
      </c>
      <c r="E53" s="12" t="s">
        <v>488</v>
      </c>
      <c r="F53" s="12"/>
    </row>
    <row r="54" spans="1:6" x14ac:dyDescent="0.3">
      <c r="A54" s="11">
        <v>50</v>
      </c>
      <c r="B54" s="13" t="s">
        <v>139</v>
      </c>
      <c r="C54" s="12" t="s">
        <v>493</v>
      </c>
      <c r="D54" s="12" t="s">
        <v>487</v>
      </c>
      <c r="E54" s="12" t="s">
        <v>488</v>
      </c>
      <c r="F54" s="12"/>
    </row>
    <row r="55" spans="1:6" x14ac:dyDescent="0.3">
      <c r="A55" s="11">
        <v>51</v>
      </c>
      <c r="B55" s="13" t="s">
        <v>151</v>
      </c>
      <c r="C55" s="12" t="s">
        <v>494</v>
      </c>
      <c r="D55" s="12" t="s">
        <v>487</v>
      </c>
      <c r="E55" s="12" t="s">
        <v>488</v>
      </c>
      <c r="F55" s="12"/>
    </row>
    <row r="56" spans="1:6" x14ac:dyDescent="0.3">
      <c r="A56" s="11">
        <v>52</v>
      </c>
      <c r="B56" s="13" t="s">
        <v>144</v>
      </c>
      <c r="C56" s="12" t="s">
        <v>145</v>
      </c>
      <c r="D56" s="12" t="s">
        <v>487</v>
      </c>
      <c r="E56" s="12" t="s">
        <v>488</v>
      </c>
      <c r="F56" s="12"/>
    </row>
    <row r="57" spans="1:6" x14ac:dyDescent="0.3">
      <c r="A57" s="11">
        <v>53</v>
      </c>
      <c r="B57" s="13" t="s">
        <v>495</v>
      </c>
      <c r="C57" s="12" t="s">
        <v>496</v>
      </c>
      <c r="D57" s="12" t="s">
        <v>497</v>
      </c>
      <c r="E57" s="12" t="s">
        <v>498</v>
      </c>
      <c r="F57" s="12"/>
    </row>
    <row r="58" spans="1:6" x14ac:dyDescent="0.3">
      <c r="A58" s="11">
        <v>54</v>
      </c>
      <c r="B58" s="13" t="s">
        <v>499</v>
      </c>
      <c r="C58" s="12" t="s">
        <v>500</v>
      </c>
      <c r="D58" s="12" t="s">
        <v>497</v>
      </c>
      <c r="E58" s="12" t="s">
        <v>498</v>
      </c>
      <c r="F58" s="12"/>
    </row>
    <row r="59" spans="1:6" x14ac:dyDescent="0.3">
      <c r="A59" s="11">
        <v>55</v>
      </c>
      <c r="B59" s="13" t="s">
        <v>501</v>
      </c>
      <c r="C59" s="12" t="s">
        <v>502</v>
      </c>
      <c r="D59" s="12" t="s">
        <v>497</v>
      </c>
      <c r="E59" s="12" t="s">
        <v>498</v>
      </c>
      <c r="F59" s="12"/>
    </row>
    <row r="60" spans="1:6" x14ac:dyDescent="0.3">
      <c r="A60" s="11">
        <v>56</v>
      </c>
      <c r="B60" s="13" t="s">
        <v>503</v>
      </c>
      <c r="C60" s="12" t="s">
        <v>504</v>
      </c>
      <c r="D60" s="12" t="s">
        <v>497</v>
      </c>
      <c r="E60" s="12" t="s">
        <v>498</v>
      </c>
      <c r="F60" s="12"/>
    </row>
    <row r="61" spans="1:6" x14ac:dyDescent="0.3">
      <c r="A61" s="11">
        <v>57</v>
      </c>
      <c r="B61" s="13" t="s">
        <v>505</v>
      </c>
      <c r="C61" s="12" t="s">
        <v>506</v>
      </c>
      <c r="D61" s="12" t="s">
        <v>507</v>
      </c>
      <c r="E61" s="12" t="s">
        <v>508</v>
      </c>
      <c r="F61" s="12"/>
    </row>
    <row r="62" spans="1:6" x14ac:dyDescent="0.3">
      <c r="A62" s="11">
        <v>58</v>
      </c>
      <c r="B62" s="13" t="s">
        <v>509</v>
      </c>
      <c r="C62" s="12" t="s">
        <v>510</v>
      </c>
      <c r="D62" s="12" t="s">
        <v>507</v>
      </c>
      <c r="E62" s="12" t="s">
        <v>508</v>
      </c>
      <c r="F62" s="12"/>
    </row>
    <row r="63" spans="1:6" x14ac:dyDescent="0.3">
      <c r="A63" s="11">
        <v>59</v>
      </c>
      <c r="B63" s="13" t="s">
        <v>511</v>
      </c>
      <c r="C63" s="12" t="s">
        <v>130</v>
      </c>
      <c r="D63" s="12" t="s">
        <v>507</v>
      </c>
      <c r="E63" s="12" t="s">
        <v>508</v>
      </c>
      <c r="F63" s="12"/>
    </row>
    <row r="64" spans="1:6" x14ac:dyDescent="0.3">
      <c r="A64" s="11">
        <v>60</v>
      </c>
      <c r="B64" s="13" t="s">
        <v>512</v>
      </c>
      <c r="C64" s="12" t="s">
        <v>513</v>
      </c>
      <c r="D64" s="12" t="s">
        <v>507</v>
      </c>
      <c r="E64" s="12" t="s">
        <v>508</v>
      </c>
      <c r="F64" s="12"/>
    </row>
    <row r="65" spans="1:6" x14ac:dyDescent="0.3">
      <c r="A65" s="11">
        <v>61</v>
      </c>
      <c r="B65" s="13" t="s">
        <v>514</v>
      </c>
      <c r="C65" s="12" t="s">
        <v>515</v>
      </c>
      <c r="D65" s="12" t="s">
        <v>507</v>
      </c>
      <c r="E65" s="12" t="s">
        <v>508</v>
      </c>
      <c r="F65" s="12"/>
    </row>
    <row r="66" spans="1:6" x14ac:dyDescent="0.3">
      <c r="A66" s="11">
        <v>62</v>
      </c>
      <c r="B66" s="13" t="s">
        <v>516</v>
      </c>
      <c r="C66" s="12" t="s">
        <v>517</v>
      </c>
      <c r="D66" s="12" t="s">
        <v>518</v>
      </c>
      <c r="E66" s="12" t="s">
        <v>519</v>
      </c>
      <c r="F66" s="12"/>
    </row>
    <row r="67" spans="1:6" x14ac:dyDescent="0.3">
      <c r="A67" s="11">
        <v>63</v>
      </c>
      <c r="B67" s="13" t="s">
        <v>520</v>
      </c>
      <c r="C67" s="12" t="s">
        <v>521</v>
      </c>
      <c r="D67" s="12" t="s">
        <v>518</v>
      </c>
      <c r="E67" s="12" t="s">
        <v>519</v>
      </c>
      <c r="F67" s="12"/>
    </row>
    <row r="68" spans="1:6" x14ac:dyDescent="0.3">
      <c r="A68" s="11">
        <v>64</v>
      </c>
      <c r="B68" s="13" t="s">
        <v>522</v>
      </c>
      <c r="C68" s="12" t="s">
        <v>523</v>
      </c>
      <c r="D68" s="12" t="s">
        <v>518</v>
      </c>
      <c r="E68" s="12" t="s">
        <v>519</v>
      </c>
      <c r="F68" s="12"/>
    </row>
    <row r="69" spans="1:6" x14ac:dyDescent="0.3">
      <c r="A69" s="11">
        <v>65</v>
      </c>
      <c r="B69" s="13" t="s">
        <v>524</v>
      </c>
      <c r="C69" s="12" t="s">
        <v>525</v>
      </c>
      <c r="D69" s="12" t="s">
        <v>526</v>
      </c>
      <c r="E69" s="12" t="s">
        <v>527</v>
      </c>
      <c r="F69" s="12"/>
    </row>
    <row r="70" spans="1:6" x14ac:dyDescent="0.3">
      <c r="A70" s="11">
        <v>66</v>
      </c>
      <c r="B70" s="13" t="s">
        <v>528</v>
      </c>
      <c r="C70" s="12" t="s">
        <v>529</v>
      </c>
      <c r="D70" s="12" t="s">
        <v>526</v>
      </c>
      <c r="E70" s="12" t="s">
        <v>527</v>
      </c>
      <c r="F70" s="12"/>
    </row>
    <row r="71" spans="1:6" x14ac:dyDescent="0.3">
      <c r="A71" s="11">
        <v>67</v>
      </c>
      <c r="B71" s="13" t="s">
        <v>530</v>
      </c>
      <c r="C71" s="12" t="s">
        <v>531</v>
      </c>
      <c r="D71" s="12" t="s">
        <v>526</v>
      </c>
      <c r="E71" s="12" t="s">
        <v>527</v>
      </c>
      <c r="F71" s="12"/>
    </row>
    <row r="72" spans="1:6" x14ac:dyDescent="0.3">
      <c r="A72" s="11">
        <v>68</v>
      </c>
      <c r="B72" s="13" t="s">
        <v>532</v>
      </c>
      <c r="C72" s="12" t="s">
        <v>533</v>
      </c>
      <c r="D72" s="12" t="s">
        <v>526</v>
      </c>
      <c r="E72" s="12" t="s">
        <v>527</v>
      </c>
      <c r="F72" s="12"/>
    </row>
    <row r="73" spans="1:6" x14ac:dyDescent="0.3">
      <c r="A73" s="11">
        <v>69</v>
      </c>
      <c r="B73" s="13" t="s">
        <v>534</v>
      </c>
      <c r="C73" s="12" t="s">
        <v>535</v>
      </c>
      <c r="D73" s="12" t="s">
        <v>526</v>
      </c>
      <c r="E73" s="12" t="s">
        <v>527</v>
      </c>
      <c r="F73" s="12"/>
    </row>
    <row r="74" spans="1:6" x14ac:dyDescent="0.3">
      <c r="A74" s="11">
        <v>70</v>
      </c>
      <c r="B74" s="13" t="s">
        <v>536</v>
      </c>
      <c r="C74" s="12" t="s">
        <v>537</v>
      </c>
      <c r="D74" s="12" t="s">
        <v>526</v>
      </c>
      <c r="E74" s="12" t="s">
        <v>527</v>
      </c>
      <c r="F74" s="12"/>
    </row>
    <row r="75" spans="1:6" x14ac:dyDescent="0.3">
      <c r="A75" s="11">
        <v>71</v>
      </c>
      <c r="B75" s="13" t="s">
        <v>538</v>
      </c>
      <c r="C75" s="12" t="s">
        <v>539</v>
      </c>
      <c r="D75" s="12" t="s">
        <v>540</v>
      </c>
      <c r="E75" s="12" t="s">
        <v>541</v>
      </c>
      <c r="F75" s="12"/>
    </row>
    <row r="76" spans="1:6" x14ac:dyDescent="0.3">
      <c r="A76" s="11">
        <v>72</v>
      </c>
      <c r="B76" s="13" t="s">
        <v>542</v>
      </c>
      <c r="C76" s="12" t="s">
        <v>543</v>
      </c>
      <c r="D76" s="12" t="s">
        <v>544</v>
      </c>
      <c r="E76" s="12" t="s">
        <v>545</v>
      </c>
      <c r="F76" s="12"/>
    </row>
    <row r="77" spans="1:6" x14ac:dyDescent="0.3">
      <c r="A77" s="11">
        <v>73</v>
      </c>
      <c r="B77" s="13" t="s">
        <v>546</v>
      </c>
      <c r="C77" s="12" t="s">
        <v>547</v>
      </c>
      <c r="D77" s="12" t="s">
        <v>544</v>
      </c>
      <c r="E77" s="12" t="s">
        <v>545</v>
      </c>
      <c r="F77" s="12"/>
    </row>
    <row r="78" spans="1:6" x14ac:dyDescent="0.3">
      <c r="A78" s="11">
        <v>74</v>
      </c>
      <c r="B78" s="13" t="s">
        <v>548</v>
      </c>
      <c r="C78" s="12" t="s">
        <v>549</v>
      </c>
      <c r="D78" s="12" t="s">
        <v>544</v>
      </c>
      <c r="E78" s="12" t="s">
        <v>545</v>
      </c>
      <c r="F78" s="12"/>
    </row>
    <row r="79" spans="1:6" x14ac:dyDescent="0.3">
      <c r="A79" s="11">
        <v>75</v>
      </c>
      <c r="B79" s="13" t="s">
        <v>550</v>
      </c>
      <c r="C79" s="12" t="s">
        <v>551</v>
      </c>
      <c r="D79" s="12" t="s">
        <v>552</v>
      </c>
      <c r="E79" s="12" t="s">
        <v>553</v>
      </c>
      <c r="F79" s="12"/>
    </row>
    <row r="80" spans="1:6" x14ac:dyDescent="0.3">
      <c r="A80" s="11">
        <v>76</v>
      </c>
      <c r="B80" s="13" t="s">
        <v>554</v>
      </c>
      <c r="C80" s="12" t="s">
        <v>555</v>
      </c>
      <c r="D80" s="12" t="s">
        <v>556</v>
      </c>
      <c r="E80" s="12" t="s">
        <v>557</v>
      </c>
      <c r="F80" s="12"/>
    </row>
    <row r="81" spans="1:6" x14ac:dyDescent="0.3">
      <c r="A81" s="11">
        <v>77</v>
      </c>
      <c r="B81" s="13" t="s">
        <v>558</v>
      </c>
      <c r="C81" s="12" t="s">
        <v>559</v>
      </c>
      <c r="D81" s="12" t="s">
        <v>556</v>
      </c>
      <c r="E81" s="12" t="s">
        <v>557</v>
      </c>
      <c r="F81" s="12"/>
    </row>
    <row r="82" spans="1:6" x14ac:dyDescent="0.3">
      <c r="A82" s="11">
        <v>78</v>
      </c>
      <c r="B82" s="13" t="s">
        <v>560</v>
      </c>
      <c r="C82" s="12" t="s">
        <v>561</v>
      </c>
      <c r="D82" s="12" t="s">
        <v>556</v>
      </c>
      <c r="E82" s="12" t="s">
        <v>557</v>
      </c>
      <c r="F82" s="12"/>
    </row>
    <row r="83" spans="1:6" x14ac:dyDescent="0.3">
      <c r="A83" s="11">
        <v>79</v>
      </c>
      <c r="B83" s="13" t="s">
        <v>562</v>
      </c>
      <c r="C83" s="12" t="s">
        <v>563</v>
      </c>
      <c r="D83" s="12" t="s">
        <v>564</v>
      </c>
      <c r="E83" s="12" t="s">
        <v>565</v>
      </c>
      <c r="F83" s="12"/>
    </row>
    <row r="84" spans="1:6" x14ac:dyDescent="0.3">
      <c r="A84" s="11">
        <v>80</v>
      </c>
      <c r="B84" s="13" t="s">
        <v>566</v>
      </c>
      <c r="C84" s="12" t="s">
        <v>567</v>
      </c>
      <c r="D84" s="12" t="s">
        <v>564</v>
      </c>
      <c r="E84" s="12" t="s">
        <v>565</v>
      </c>
      <c r="F84" s="12"/>
    </row>
    <row r="85" spans="1:6" x14ac:dyDescent="0.3">
      <c r="A85" s="11">
        <v>81</v>
      </c>
      <c r="B85" s="13" t="s">
        <v>568</v>
      </c>
      <c r="C85" s="12" t="s">
        <v>569</v>
      </c>
      <c r="D85" s="12" t="s">
        <v>564</v>
      </c>
      <c r="E85" s="12" t="s">
        <v>565</v>
      </c>
      <c r="F85" s="12"/>
    </row>
    <row r="86" spans="1:6" x14ac:dyDescent="0.3">
      <c r="A86" s="11">
        <v>82</v>
      </c>
      <c r="B86" s="13" t="s">
        <v>570</v>
      </c>
      <c r="C86" s="12" t="s">
        <v>571</v>
      </c>
      <c r="D86" s="12" t="s">
        <v>564</v>
      </c>
      <c r="E86" s="12" t="s">
        <v>565</v>
      </c>
      <c r="F86" s="12"/>
    </row>
    <row r="87" spans="1:6" x14ac:dyDescent="0.3">
      <c r="A87" s="11">
        <v>83</v>
      </c>
      <c r="B87" s="13" t="s">
        <v>572</v>
      </c>
      <c r="C87" s="12" t="s">
        <v>573</v>
      </c>
      <c r="D87" s="12" t="s">
        <v>564</v>
      </c>
      <c r="E87" s="12" t="s">
        <v>565</v>
      </c>
      <c r="F87" s="12"/>
    </row>
    <row r="88" spans="1:6" x14ac:dyDescent="0.3">
      <c r="A88" s="11">
        <v>84</v>
      </c>
      <c r="B88" s="13" t="s">
        <v>574</v>
      </c>
      <c r="C88" s="12" t="s">
        <v>575</v>
      </c>
      <c r="D88" s="12" t="s">
        <v>564</v>
      </c>
      <c r="E88" s="12" t="s">
        <v>565</v>
      </c>
      <c r="F88" s="12"/>
    </row>
    <row r="89" spans="1:6" x14ac:dyDescent="0.3">
      <c r="A89" s="11">
        <v>85</v>
      </c>
      <c r="B89" s="13" t="s">
        <v>576</v>
      </c>
      <c r="C89" s="12" t="s">
        <v>577</v>
      </c>
      <c r="D89" s="12" t="s">
        <v>564</v>
      </c>
      <c r="E89" s="12" t="s">
        <v>565</v>
      </c>
      <c r="F89" s="12"/>
    </row>
    <row r="90" spans="1:6" x14ac:dyDescent="0.3">
      <c r="A90" s="11">
        <v>86</v>
      </c>
      <c r="B90" s="13" t="s">
        <v>578</v>
      </c>
      <c r="C90" s="12" t="s">
        <v>579</v>
      </c>
      <c r="D90" s="12" t="s">
        <v>580</v>
      </c>
      <c r="E90" s="12" t="s">
        <v>581</v>
      </c>
      <c r="F90" s="12"/>
    </row>
    <row r="91" spans="1:6" x14ac:dyDescent="0.3">
      <c r="A91" s="11">
        <v>87</v>
      </c>
      <c r="B91" s="13" t="s">
        <v>582</v>
      </c>
      <c r="C91" s="12" t="s">
        <v>583</v>
      </c>
      <c r="D91" s="12" t="s">
        <v>584</v>
      </c>
      <c r="E91" s="12" t="s">
        <v>585</v>
      </c>
      <c r="F91" s="12"/>
    </row>
    <row r="92" spans="1:6" x14ac:dyDescent="0.3">
      <c r="A92" s="11">
        <v>88</v>
      </c>
      <c r="B92" s="13" t="s">
        <v>586</v>
      </c>
      <c r="C92" s="12" t="s">
        <v>587</v>
      </c>
      <c r="D92" s="12" t="s">
        <v>584</v>
      </c>
      <c r="E92" s="12" t="s">
        <v>585</v>
      </c>
      <c r="F92" s="12"/>
    </row>
    <row r="93" spans="1:6" x14ac:dyDescent="0.3">
      <c r="A93" s="11">
        <v>89</v>
      </c>
      <c r="B93" s="13" t="s">
        <v>588</v>
      </c>
      <c r="C93" s="12" t="s">
        <v>589</v>
      </c>
      <c r="D93" s="12" t="s">
        <v>584</v>
      </c>
      <c r="E93" s="12" t="s">
        <v>585</v>
      </c>
      <c r="F93" s="12"/>
    </row>
    <row r="94" spans="1:6" x14ac:dyDescent="0.3">
      <c r="A94" s="11">
        <v>90</v>
      </c>
      <c r="B94" s="13" t="s">
        <v>590</v>
      </c>
      <c r="C94" s="12" t="s">
        <v>591</v>
      </c>
      <c r="D94" s="12" t="s">
        <v>592</v>
      </c>
      <c r="E94" s="12" t="s">
        <v>593</v>
      </c>
      <c r="F94" s="12"/>
    </row>
    <row r="95" spans="1:6" x14ac:dyDescent="0.3">
      <c r="A95" s="11">
        <v>91</v>
      </c>
      <c r="B95" s="13" t="s">
        <v>594</v>
      </c>
      <c r="C95" s="12" t="s">
        <v>595</v>
      </c>
      <c r="D95" s="12" t="s">
        <v>592</v>
      </c>
      <c r="E95" s="12" t="s">
        <v>593</v>
      </c>
      <c r="F95" s="12"/>
    </row>
    <row r="96" spans="1:6" x14ac:dyDescent="0.3">
      <c r="A96" s="11">
        <v>92</v>
      </c>
      <c r="B96" s="13" t="s">
        <v>596</v>
      </c>
      <c r="C96" s="12" t="s">
        <v>159</v>
      </c>
      <c r="D96" s="12" t="s">
        <v>597</v>
      </c>
      <c r="E96" s="12" t="s">
        <v>598</v>
      </c>
      <c r="F96" s="12"/>
    </row>
    <row r="97" spans="1:6" x14ac:dyDescent="0.3">
      <c r="A97" s="11">
        <v>93</v>
      </c>
      <c r="B97" s="13" t="s">
        <v>599</v>
      </c>
      <c r="C97" s="12" t="s">
        <v>219</v>
      </c>
      <c r="D97" s="12" t="s">
        <v>600</v>
      </c>
      <c r="E97" s="12" t="s">
        <v>601</v>
      </c>
      <c r="F97" s="12"/>
    </row>
    <row r="98" spans="1:6" x14ac:dyDescent="0.3">
      <c r="A98" s="11">
        <v>94</v>
      </c>
      <c r="B98" s="13">
        <v>200113501</v>
      </c>
      <c r="C98" s="12" t="s">
        <v>182</v>
      </c>
      <c r="D98" s="12" t="s">
        <v>602</v>
      </c>
      <c r="E98" s="12" t="s">
        <v>603</v>
      </c>
      <c r="F98" s="12"/>
    </row>
    <row r="101" spans="1:6" x14ac:dyDescent="0.3">
      <c r="E101" s="358" t="s">
        <v>604</v>
      </c>
      <c r="F101" s="358"/>
    </row>
  </sheetData>
  <mergeCells count="3">
    <mergeCell ref="A1:F1"/>
    <mergeCell ref="A2:F2"/>
    <mergeCell ref="E101:F101"/>
  </mergeCells>
  <pageMargins left="0.7" right="0.7" top="0.75" bottom="0.75" header="0.3" footer="0.3"/>
  <ignoredErrors>
    <ignoredError sqref="B5:E97 C98:E9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462AC3939AF141B8AC840F73996167" ma:contentTypeVersion="9" ma:contentTypeDescription="Create a new document." ma:contentTypeScope="" ma:versionID="8a8bd6446fcea43f05c9ee8ce8c3bd17">
  <xsd:schema xmlns:xsd="http://www.w3.org/2001/XMLSchema" xmlns:xs="http://www.w3.org/2001/XMLSchema" xmlns:p="http://schemas.microsoft.com/office/2006/metadata/properties" xmlns:ns2="735f8877-9738-4e20-a9d2-2296dfa96b3c" xmlns:ns3="6535b558-eb29-4c89-8e0d-c5969a6e6332" targetNamespace="http://schemas.microsoft.com/office/2006/metadata/properties" ma:root="true" ma:fieldsID="2b3cfbd313d85e22ba2c3dc7aa10fafd" ns2:_="" ns3:_="">
    <xsd:import namespace="735f8877-9738-4e20-a9d2-2296dfa96b3c"/>
    <xsd:import namespace="6535b558-eb29-4c89-8e0d-c5969a6e63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f8877-9738-4e20-a9d2-2296dfa96b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35b558-eb29-4c89-8e0d-c5969a6e633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CD4AC2-3EC7-423F-B611-CFABCE8C5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5f8877-9738-4e20-a9d2-2296dfa96b3c"/>
    <ds:schemaRef ds:uri="6535b558-eb29-4c89-8e0d-c5969a6e63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6137A7-60A4-4F44-BD7D-271FDABC82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662E57-3578-442D-BBB9-F9F72E3B5EFD}">
  <ds:schemaRefs>
    <ds:schemaRef ds:uri="6535b558-eb29-4c89-8e0d-c5969a6e6332"/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35f8877-9738-4e20-a9d2-2296dfa96b3c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3011a54b-0a5d-4929-bf02-a00787877c6a}" enabled="0" method="" siteId="{3011a54b-0a5d-4929-bf02-a00787877c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Ke hoach giảng dạy CNTT</vt:lpstr>
      <vt:lpstr>Khung_CTĐT_CNTT_K30 (2024)</vt:lpstr>
      <vt:lpstr>CTĐT_CNTT_K30 (2025 Mẫu Khoa)</vt:lpstr>
      <vt:lpstr>MaBoMon</vt:lpstr>
      <vt:lpstr>'CTĐT_CNTT_K30 (2025 Mẫu Khoa)'!Print_Area</vt:lpstr>
      <vt:lpstr>'Ke hoach giảng dạy CNTT'!Print_Area</vt:lpstr>
      <vt:lpstr>'Khung_CTĐT_CNTT_K30 (2024)'!Print_Area</vt:lpstr>
      <vt:lpstr>'CTĐT_CNTT_K30 (2025 Mẫu Khoa)'!Print_Titles</vt:lpstr>
      <vt:lpstr>'Ke hoach giảng dạy CNTT'!Print_Titles</vt:lpstr>
      <vt:lpstr>'Khung_CTĐT_CNTT_K30 (2024)'!Print_Titles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Tony</dc:creator>
  <cp:keywords/>
  <dc:description/>
  <cp:lastModifiedBy>Bùi Minh Phụng - Khoa Công nghệ Thông tin - VLTECH</cp:lastModifiedBy>
  <cp:revision/>
  <cp:lastPrinted>2025-08-29T07:22:29Z</cp:lastPrinted>
  <dcterms:created xsi:type="dcterms:W3CDTF">2021-06-25T14:59:39Z</dcterms:created>
  <dcterms:modified xsi:type="dcterms:W3CDTF">2026-04-24T14:30:25Z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0x010100C1462AC3939AF141B8AC840F73996167</vt:lpwstr>
  </property>
</Properties>
</file>